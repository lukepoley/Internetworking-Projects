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>
    <definedName hidden="1" localSheetId="0" name="_xlnm._FilterDatabase">results!$A$1:$F$502</definedName>
  </definedNames>
  <calcPr/>
</workbook>
</file>

<file path=xl/sharedStrings.xml><?xml version="1.0" encoding="utf-8"?>
<sst xmlns="http://schemas.openxmlformats.org/spreadsheetml/2006/main" count="1243" uniqueCount="1060">
  <si>
    <t>domain_name</t>
  </si>
  <si>
    <t>Carleton_response_addresses</t>
  </si>
  <si>
    <t>Google_response_addresses</t>
  </si>
  <si>
    <t>TTL_Carleton</t>
  </si>
  <si>
    <t>TTL_Google</t>
  </si>
  <si>
    <t xml:space="preserve">B,C Match?
</t>
  </si>
  <si>
    <t>Filtered D</t>
  </si>
  <si>
    <t>Filtered E</t>
  </si>
  <si>
    <t>TTL avg</t>
  </si>
  <si>
    <t>TTL sd</t>
  </si>
  <si>
    <t>carl</t>
  </si>
  <si>
    <t>goog</t>
  </si>
  <si>
    <t>B,C Match? (inverse)</t>
  </si>
  <si>
    <t>google.com.</t>
  </si>
  <si>
    <t>142.250.190.142</t>
  </si>
  <si>
    <t>carleton</t>
  </si>
  <si>
    <t>akadns.net.</t>
  </si>
  <si>
    <t>gstatic.com.</t>
  </si>
  <si>
    <t>172.217.4.195</t>
  </si>
  <si>
    <t>142.250.190.67</t>
  </si>
  <si>
    <t>google</t>
  </si>
  <si>
    <t>facebook.com.</t>
  </si>
  <si>
    <t>157.240.26.35</t>
  </si>
  <si>
    <t>microsoft.com.</t>
  </si>
  <si>
    <t>13.107.213.51;13.107.246.51</t>
  </si>
  <si>
    <t>13.107.246.51;13.107.213.51</t>
  </si>
  <si>
    <t>akamai.com.</t>
  </si>
  <si>
    <t>23.200.133.6;23.200.133.42</t>
  </si>
  <si>
    <t>104.119.189.219;104.119.189.235</t>
  </si>
  <si>
    <t>whatsapp.net.</t>
  </si>
  <si>
    <t>157.240.26.54</t>
  </si>
  <si>
    <t>apple.com.</t>
  </si>
  <si>
    <t>17.253.144.10</t>
  </si>
  <si>
    <t>fbcdn.net.</t>
  </si>
  <si>
    <t>play.googleapis.com.</t>
  </si>
  <si>
    <t>216.239.38.223;216.239.32.223;216.239.34.223;216.239.36.223</t>
  </si>
  <si>
    <t>216.239.34.223;216.239.38.223;216.239.32.223;216.239.36.223</t>
  </si>
  <si>
    <t>googleusercontent.com.</t>
  </si>
  <si>
    <t>172.217.5.1</t>
  </si>
  <si>
    <t>142.250.190.97</t>
  </si>
  <si>
    <t>bing.com.</t>
  </si>
  <si>
    <t>150.171.28.10;150.171.27.10</t>
  </si>
  <si>
    <t>150.171.27.10;150.171.28.10</t>
  </si>
  <si>
    <t>microsoftonline.com.</t>
  </si>
  <si>
    <t>doubleclick.net.</t>
  </si>
  <si>
    <t>142.250.190.14</t>
  </si>
  <si>
    <t>digicert.com.</t>
  </si>
  <si>
    <t>45.60.131.229;45.60.121.229</t>
  </si>
  <si>
    <t>45.60.121.229;45.60.131.229</t>
  </si>
  <si>
    <t>akamai-zt.com.</t>
  </si>
  <si>
    <t>office.com.</t>
  </si>
  <si>
    <t>13.107.6.156</t>
  </si>
  <si>
    <t>ytimg.com.</t>
  </si>
  <si>
    <t>update.googleapis.com.</t>
  </si>
  <si>
    <t>142.251.32.3</t>
  </si>
  <si>
    <t>142.250.191.163</t>
  </si>
  <si>
    <t>msn.com.</t>
  </si>
  <si>
    <t>204.79.197.219</t>
  </si>
  <si>
    <t>googleapis.com.</t>
  </si>
  <si>
    <t>142.250.190.100</t>
  </si>
  <si>
    <t>142.250.190.132</t>
  </si>
  <si>
    <t>www.googleapis.com.</t>
  </si>
  <si>
    <t>142.251.34.234;142.250.191.138;172.217.4.42;142.250.191.170;142.250.190.106;142.250.190.42;142.250.191.106;142.250.190.10;172.217.1.106;142.251.32.10;142.250.190.74;142.250.191.234;172.217.2.42;142.250.190.138;172.217.4.74;142.250.191.202</t>
  </si>
  <si>
    <t>142.250.191.138;142.250.190.74;142.250.191.170;142.250.190.10;172.217.4.202;172.217.1.106;172.217.5.10;142.250.190.106;142.250.191.202;172.217.2.42;142.250.191.106;142.251.34.234;142.251.32.10;172.217.4.74;142.250.190.138;142.250.191.234</t>
  </si>
  <si>
    <t>app-measurement.com.</t>
  </si>
  <si>
    <t>142.250.191.238</t>
  </si>
  <si>
    <t>142.251.32.14</t>
  </si>
  <si>
    <t>skype.com.</t>
  </si>
  <si>
    <t>20.112.250.133;20.76.201.171;20.236.44.162;20.70.246.20;20.231.239.246</t>
  </si>
  <si>
    <t>20.70.246.20;20.231.239.246;20.112.250.133;20.236.44.162;20.76.201.171</t>
  </si>
  <si>
    <t>office.net.</t>
  </si>
  <si>
    <t>akamai.net.</t>
  </si>
  <si>
    <t>youtube.com.</t>
  </si>
  <si>
    <t>172.217.4.46</t>
  </si>
  <si>
    <t>172.217.4.206</t>
  </si>
  <si>
    <t>windows.com.</t>
  </si>
  <si>
    <t>20.70.246.20;20.76.201.171;20.236.44.162;20.112.250.133;20.231.239.246</t>
  </si>
  <si>
    <t>20.70.246.20;20.112.250.133;20.76.201.171;20.236.44.162;20.231.239.246</t>
  </si>
  <si>
    <t>aaplimg.com.</t>
  </si>
  <si>
    <t>instagram.com.</t>
  </si>
  <si>
    <t>157.240.26.174</t>
  </si>
  <si>
    <t>icloud.com.</t>
  </si>
  <si>
    <t>cloud.microsoft.</t>
  </si>
  <si>
    <t>20.76.201.171;20.231.239.246;20.236.44.162;20.70.246.20;20.112.250.133</t>
  </si>
  <si>
    <t>20.231.239.246;20.112.250.133;20.70.246.20;20.76.201.171;20.236.44.162</t>
  </si>
  <si>
    <t>officeapps.live.com.</t>
  </si>
  <si>
    <t>52.108.9.12;52.108.8.12</t>
  </si>
  <si>
    <t>apple-dns.net.</t>
  </si>
  <si>
    <t>safebrowsing.googleapis.com.</t>
  </si>
  <si>
    <t>142.251.32.10</t>
  </si>
  <si>
    <t>142.250.191.234</t>
  </si>
  <si>
    <t>ntp.org.</t>
  </si>
  <si>
    <t>204.93.207.22</t>
  </si>
  <si>
    <t>optimizationguide-pa.googleapis.com.</t>
  </si>
  <si>
    <t>172.217.4.202;142.250.191.106;172.217.2.42;142.250.191.170;172.217.5.10;142.250.190.10;142.250.191.138;142.250.190.74;142.250.190.42;142.250.191.202;142.250.190.138;172.217.1.106;142.250.191.234;142.251.32.10;172.217.4.42;142.250.190.106</t>
  </si>
  <si>
    <t>142.250.191.138;142.250.190.106;142.250.191.106;172.217.1.106;142.250.190.74;142.250.190.10;142.250.191.202;172.217.4.42;142.251.32.10;142.250.191.234;142.251.34.234;172.217.4.202;142.250.191.170;172.217.4.74;172.217.2.42;142.250.190.42</t>
  </si>
  <si>
    <t>windowsupdate.com.</t>
  </si>
  <si>
    <t>gvt2.com.</t>
  </si>
  <si>
    <t>maersk.io.</t>
  </si>
  <si>
    <t>165.160.15.20;165.160.13.20</t>
  </si>
  <si>
    <t>165.160.13.20;165.160.15.20</t>
  </si>
  <si>
    <t>googlevideo.com.</t>
  </si>
  <si>
    <t>142.251.34.228</t>
  </si>
  <si>
    <t>172.217.2.36</t>
  </si>
  <si>
    <t>youtubei.googleapis.com.</t>
  </si>
  <si>
    <t>216.239.34.223;216.239.36.223;216.239.38.223;216.239.32.223</t>
  </si>
  <si>
    <t>216.239.36.223;216.239.38.223;216.239.34.223;216.239.32.223</t>
  </si>
  <si>
    <t>clientservices.googleapis.com.</t>
  </si>
  <si>
    <t>142.250.190.99</t>
  </si>
  <si>
    <t>cloudflare.com.</t>
  </si>
  <si>
    <t>104.16.133.229;104.16.132.229</t>
  </si>
  <si>
    <t>104.16.132.229;104.16.133.229</t>
  </si>
  <si>
    <t>akamaiedge.net.</t>
  </si>
  <si>
    <t>esc5.net.</t>
  </si>
  <si>
    <t>54.208.31.49</t>
  </si>
  <si>
    <t>googlesyndication.com.</t>
  </si>
  <si>
    <t>142.250.190.36</t>
  </si>
  <si>
    <t>142.250.191.196</t>
  </si>
  <si>
    <t>tiktokv.com.</t>
  </si>
  <si>
    <t>23.38.109.145;23.38.109.156;23.38.109.136;23.38.109.153;23.38.109.138;23.38.109.154;23.38.109.149;23.38.109.134;23.38.109.165</t>
  </si>
  <si>
    <t>23.11.229.202;23.11.229.186;23.11.229.168;23.11.229.171;23.11.229.208;23.11.229.211;23.11.229.218;23.11.229.153;23.11.229.227</t>
  </si>
  <si>
    <t>windows.net.</t>
  </si>
  <si>
    <t>20.70.246.20;20.76.201.171;20.231.239.246;20.236.44.162;20.112.250.133</t>
  </si>
  <si>
    <t>20.231.239.246;20.76.201.171;20.236.44.162;20.112.250.133;20.70.246.20</t>
  </si>
  <si>
    <t>cib.com.cn.</t>
  </si>
  <si>
    <t>notifications-pa.googleapis.com.</t>
  </si>
  <si>
    <t>142.250.190.74;142.250.191.202;172.217.4.42;142.250.190.138;142.250.191.138;142.250.190.106;142.250.190.10;142.251.34.234;142.250.190.42;172.217.1.106;142.250.191.234;142.250.191.170;142.251.32.10;142.250.191.106;172.217.4.74</t>
  </si>
  <si>
    <t>142.250.191.170;172.217.5.10;142.250.190.106;142.250.191.202;142.250.190.74;142.250.190.10;172.217.1.106;142.250.191.234;142.250.191.106;142.250.191.138;142.250.190.138;172.217.2.42;142.251.32.10;142.250.190.42</t>
  </si>
  <si>
    <t>appsflyersdk.com.</t>
  </si>
  <si>
    <t>18.160.102.87;18.160.102.58;18.160.102.32;18.160.102.127</t>
  </si>
  <si>
    <t>18.160.102.32;18.160.102.58;18.160.102.127;18.160.102.87</t>
  </si>
  <si>
    <t>amazonaws.com.</t>
  </si>
  <si>
    <t>72.21.210.29;72.21.206.80;207.171.166.22</t>
  </si>
  <si>
    <t>72.21.210.29;207.171.166.22;72.21.206.80</t>
  </si>
  <si>
    <t>gvt1.com.</t>
  </si>
  <si>
    <t>office365.com.</t>
  </si>
  <si>
    <t>40.112.243.53;20.119.0.28</t>
  </si>
  <si>
    <t>20.119.0.28;40.112.243.53</t>
  </si>
  <si>
    <t>googletagmanager.com.</t>
  </si>
  <si>
    <t>142.250.191.200</t>
  </si>
  <si>
    <t>142.250.190.40</t>
  </si>
  <si>
    <t>play-fe.googleapis.com.</t>
  </si>
  <si>
    <t>142.250.190.46</t>
  </si>
  <si>
    <t>172.217.2.46</t>
  </si>
  <si>
    <t>login.live.com.</t>
  </si>
  <si>
    <t>20.190.135.3;20.190.135.16;40.126.28.20;40.126.28.21;40.126.28.12;40.126.7.35;20.190.135.4;40.126.28.14</t>
  </si>
  <si>
    <t>20.190.155.16;20.190.155.66;20.190.155.65;20.190.155.132;20.190.155.67;20.190.155.2;40.126.27.128;20.190.155.131</t>
  </si>
  <si>
    <t>googleadservices.com.</t>
  </si>
  <si>
    <t>142.250.191.98</t>
  </si>
  <si>
    <t>142.250.190.2</t>
  </si>
  <si>
    <t>akamaized.net.</t>
  </si>
  <si>
    <t>adobedtm.com.</t>
  </si>
  <si>
    <t>firebaselogging-pa.googleapis.com.</t>
  </si>
  <si>
    <t>142.250.190.10;142.251.32.10;142.250.191.170;142.250.190.138;142.250.191.202;172.217.1.106;142.250.191.106;142.250.190.106;142.250.191.138;172.217.4.202;172.217.4.74;172.217.5.10;142.250.190.42;142.250.191.234;142.250.190.74;172.217.2.42</t>
  </si>
  <si>
    <t>172.217.1.106;142.250.190.106;142.250.190.42;142.250.190.74;172.217.4.42;142.250.191.234;142.250.191.202;172.217.5.10;142.250.191.170;172.217.4.74;142.251.32.10;142.250.190.10;142.250.191.106;142.250.190.138;142.250.191.138;142.251.34.234</t>
  </si>
  <si>
    <t>android.googleapis.com.</t>
  </si>
  <si>
    <t>216.239.38.223;216.239.36.223;216.239.34.223;216.239.32.223</t>
  </si>
  <si>
    <t>216.239.32.223;216.239.34.223;216.239.38.223;216.239.36.223</t>
  </si>
  <si>
    <t>firebaseremoteconfig.googleapis.com.</t>
  </si>
  <si>
    <t>172.217.2.42;172.217.5.10;142.250.191.202;172.217.1.106;142.250.191.170;142.250.190.106;142.250.190.74;172.217.4.42;142.251.32.10;142.250.191.138;142.250.190.138;142.250.191.106;142.250.190.42;172.217.4.202;142.250.191.234;142.250.190.10</t>
  </si>
  <si>
    <t>142.250.191.170;142.250.190.10;142.250.191.106;172.217.4.74;142.250.191.202;142.251.32.10;172.217.4.202;172.217.4.42;142.250.191.234;172.217.2.42;142.250.190.106;142.250.190.42;142.250.190.138;172.217.1.106;142.251.34.234;142.250.191.138</t>
  </si>
  <si>
    <t>tiktokcdn.com.</t>
  </si>
  <si>
    <t>fonts.googleapis.com.</t>
  </si>
  <si>
    <t>142.250.190.106</t>
  </si>
  <si>
    <t>142.250.190.42</t>
  </si>
  <si>
    <t>google-analytics.com.</t>
  </si>
  <si>
    <t>142.250.191.132</t>
  </si>
  <si>
    <t>ggpht.com.</t>
  </si>
  <si>
    <t>crashlytics.com.</t>
  </si>
  <si>
    <t>216.239.32.29</t>
  </si>
  <si>
    <t>content-autofill.googleapis.com.</t>
  </si>
  <si>
    <t>172.217.2.42;172.217.1.106;172.217.5.10;142.250.191.202;172.217.4.202;142.250.191.170;172.217.4.42;142.250.190.10;142.250.190.42;142.251.32.10;142.250.190.74;142.250.191.106;142.250.191.234;142.251.34.234;142.250.190.138;142.250.191.138</t>
  </si>
  <si>
    <t>172.217.2.42;142.250.191.170;172.217.1.106;172.217.4.202;142.250.190.74;172.217.4.42;142.250.190.42;142.250.190.10;142.250.190.138;142.250.191.234;142.250.191.106;142.251.34.234;142.250.191.202;142.251.32.10;142.250.191.138;142.250.190.106</t>
  </si>
  <si>
    <t>static.microsoft.</t>
  </si>
  <si>
    <t>line-apps.com.</t>
  </si>
  <si>
    <t>10.233.124.212</t>
  </si>
  <si>
    <t>sfx.ms.</t>
  </si>
  <si>
    <t>azure.com.</t>
  </si>
  <si>
    <t>20.236.44.162;20.231.239.246;20.112.250.133;20.76.201.171;20.70.246.20</t>
  </si>
  <si>
    <t>20.236.44.162;20.76.201.171;20.231.239.246;20.112.250.133;20.70.246.20</t>
  </si>
  <si>
    <t>prod-lt-playstoregatewayadapter-pa.googleapis.com.</t>
  </si>
  <si>
    <t>142.250.190.42;142.250.191.234;142.250.191.106;142.251.34.234;142.250.190.138;172.217.5.10;172.217.4.42;142.251.32.10;142.250.191.202;172.217.4.74;142.250.191.138;172.217.4.202;142.250.190.10;172.217.1.106;172.217.2.42;142.250.191.170</t>
  </si>
  <si>
    <t>142.250.190.10;142.250.191.106;142.251.34.234;142.250.191.202;172.217.4.202;172.217.4.42;142.250.190.106;142.251.32.10;172.217.1.106;142.250.190.138;172.217.2.42;142.250.191.234;172.217.5.10;142.250.191.138;142.250.191.170;172.217.4.74</t>
  </si>
  <si>
    <t>fastly-edge.com.</t>
  </si>
  <si>
    <t>churchofjesuschrist.org.</t>
  </si>
  <si>
    <t>216.49.176.20</t>
  </si>
  <si>
    <t>firebaseinstallations.googleapis.com.</t>
  </si>
  <si>
    <t>142.250.190.42;142.250.190.106;172.217.2.42;142.250.191.170;142.250.190.138;142.250.190.10;172.217.4.202;142.250.191.106;142.250.191.138;172.217.4.74;172.217.1.106;142.251.34.234;142.250.191.234;142.250.191.202;142.250.190.74;142.251.32.10</t>
  </si>
  <si>
    <t>142.250.190.138;142.250.190.42;142.250.191.138;142.250.191.234;142.250.190.106;142.251.32.10;142.250.190.74;172.217.4.42;142.250.191.170;142.251.34.234;172.217.2.42;172.217.4.202;142.250.190.10;172.217.5.10;172.217.1.106;142.250.191.202</t>
  </si>
  <si>
    <t>geller-pa.googleapis.com.</t>
  </si>
  <si>
    <t>142.250.190.138;142.250.190.42;142.250.191.170;142.250.190.10;142.250.190.106;172.217.5.10;172.217.1.106;142.250.191.234;142.250.191.202;172.217.4.74;172.217.4.42;142.250.191.106;142.250.191.138;142.251.32.10;142.250.190.74;142.251.34.234</t>
  </si>
  <si>
    <t>142.251.32.10;142.251.34.234;142.250.191.170;142.250.191.234;172.217.2.42;142.250.191.106;142.250.190.74;172.217.4.74;172.217.4.42;142.250.191.138;142.250.190.42;142.250.190.10;142.250.190.106;172.217.1.106;142.250.190.138;142.250.191.202</t>
  </si>
  <si>
    <t>zscalertwo.net.</t>
  </si>
  <si>
    <t>qq.com.</t>
  </si>
  <si>
    <t>123.150.76.218;203.205.254.157;113.108.81.189</t>
  </si>
  <si>
    <t>aa-rt.sharepoint.com.</t>
  </si>
  <si>
    <t>people-pa.googleapis.com.</t>
  </si>
  <si>
    <t>142.250.191.106;172.217.1.106;142.250.190.106;142.250.190.42;172.217.2.42;142.250.191.170;142.250.190.10;172.217.4.202;142.250.190.74;172.217.5.10;142.250.190.138;142.250.191.138;142.250.191.234;142.250.191.202;142.251.32.10;172.217.4.42</t>
  </si>
  <si>
    <t>142.250.190.10;142.250.190.42;172.217.4.42;142.250.191.106;172.217.2.42;142.250.191.138;142.250.190.74;142.251.32.10;142.250.191.170;172.217.4.202;142.250.191.234;142.250.190.138;142.250.190.106;142.251.34.234;142.250.191.202;172.217.1.106</t>
  </si>
  <si>
    <t>whatsapp.com.</t>
  </si>
  <si>
    <t>app-analytics-services.com.</t>
  </si>
  <si>
    <t>142.250.191.174</t>
  </si>
  <si>
    <t>172.217.4.78</t>
  </si>
  <si>
    <t>android.com.</t>
  </si>
  <si>
    <t>172.217.5.4</t>
  </si>
  <si>
    <t>cdn-apple.com.</t>
  </si>
  <si>
    <t>sentry.io.</t>
  </si>
  <si>
    <t>35.186.247.156</t>
  </si>
  <si>
    <t>playstoregatewayadapter-pa.googleapis.com.</t>
  </si>
  <si>
    <t>142.250.190.74;142.250.191.138;142.251.34.234;142.250.190.42;142.250.191.106;142.250.191.234;172.217.2.42;142.250.190.10;142.250.191.170;172.217.4.74;142.250.190.138;172.217.4.42;142.250.190.106;172.217.1.106;142.250.191.202;142.251.32.10</t>
  </si>
  <si>
    <t>142.250.190.138;142.250.191.138;142.250.190.106;142.250.191.234;142.251.32.10;142.250.191.202;142.250.191.170;142.250.190.42;142.250.190.74;142.250.191.106;142.250.190.10;172.217.1.106;172.217.4.202;142.251.34.234;172.217.2.42;172.217.4.42</t>
  </si>
  <si>
    <t>yahoo.com.</t>
  </si>
  <si>
    <t>98.137.11.164;74.6.231.21;74.6.143.25;74.6.143.26;98.137.11.163;74.6.231.20</t>
  </si>
  <si>
    <t>74.6.143.26;74.6.143.25;98.137.11.164;98.137.11.163;74.6.231.21;74.6.231.20</t>
  </si>
  <si>
    <t>live.com.</t>
  </si>
  <si>
    <t>204.79.197.212</t>
  </si>
  <si>
    <t>discover-pa.googleapis.com.</t>
  </si>
  <si>
    <t>142.250.191.234;142.250.191.202;172.217.4.42;142.250.190.10;172.217.4.74;142.250.190.106;142.250.191.138;142.250.190.138;172.217.2.42;172.217.4.202;172.217.1.106;142.251.34.234;142.250.191.106;142.251.32.10;142.250.191.170;142.250.190.42</t>
  </si>
  <si>
    <t>142.250.191.202;142.250.191.234;142.251.34.234;142.250.190.74;142.250.191.106;172.217.4.74;142.250.191.138;172.217.4.42;142.250.190.106;142.250.191.170;172.217.4.202;142.251.32.10;142.250.190.138;172.217.5.10;142.250.190.10;142.250.190.42</t>
  </si>
  <si>
    <t>cloudsink.net.</t>
  </si>
  <si>
    <t>spot-pa.googleapis.com.</t>
  </si>
  <si>
    <t>142.250.191.202;142.250.190.42;172.217.4.74;142.250.191.138;142.250.190.10;142.250.190.138;172.217.4.42;142.250.191.106;142.250.191.234;142.251.34.234;172.217.1.106;142.250.190.74;142.250.191.170;142.251.32.10;172.217.2.42;142.250.190.106</t>
  </si>
  <si>
    <t>142.250.190.74;142.250.190.106;172.217.4.74;172.217.5.10;142.250.190.42;142.250.191.138;142.251.32.10;142.250.191.170;142.250.191.106;142.251.34.234;172.217.1.106;142.250.191.202;142.250.191.234;142.250.190.138;172.217.4.202;142.250.190.10</t>
  </si>
  <si>
    <t>pki.goog.</t>
  </si>
  <si>
    <t>scorecardresearch.com.</t>
  </si>
  <si>
    <t>165.193.78.252</t>
  </si>
  <si>
    <t>taskassist-pa.googleapis.com.</t>
  </si>
  <si>
    <t>172.217.2.42;142.251.34.234;142.250.190.42;142.250.191.138;172.217.4.74;142.250.191.170;142.250.191.234;142.251.32.10;142.250.191.202;142.250.190.74;142.250.190.10;172.217.1.106;172.217.4.42;172.217.4.202;142.250.191.106;142.250.190.106</t>
  </si>
  <si>
    <t>142.251.32.10;172.217.2.42;172.217.1.106;142.250.190.106;142.250.191.106;142.250.190.42;142.250.190.10;142.250.191.170;142.250.191.138;142.250.191.234;142.250.190.138;142.250.191.202;142.251.34.234;142.250.190.74;172.217.4.202;172.217.5.10</t>
  </si>
  <si>
    <t>azureedge.net.</t>
  </si>
  <si>
    <t>firebaselogging.googleapis.com.</t>
  </si>
  <si>
    <t>216.239.36.223;216.239.32.223;216.239.34.223;216.239.38.223</t>
  </si>
  <si>
    <t>216.239.32.223;216.239.36.223;216.239.38.223;216.239.34.223</t>
  </si>
  <si>
    <t>outlook.com.</t>
  </si>
  <si>
    <t>52.96.172.98;52.96.222.194;52.96.111.82;52.96.91.34;52.96.222.226;52.96.223.2;52.96.214.50;52.96.229.242;52.96.228.130</t>
  </si>
  <si>
    <t>52.96.91.34;52.96.214.50;52.96.111.82;52.96.172.98;52.96.223.2;52.96.222.226;52.96.222.194;52.96.228.130;52.96.229.242</t>
  </si>
  <si>
    <t>paypal.com.</t>
  </si>
  <si>
    <t>162.159.141.96;151.101.3.1;151.101.195.1</t>
  </si>
  <si>
    <t>moba.net.</t>
  </si>
  <si>
    <t>95.170.74.97</t>
  </si>
  <si>
    <t>dell.com.</t>
  </si>
  <si>
    <t>143.166.30.172;143.166.136.12</t>
  </si>
  <si>
    <t>lencr.org.</t>
  </si>
  <si>
    <t>18.208.88.157;98.84.224.111</t>
  </si>
  <si>
    <t>cdninstagram.com.</t>
  </si>
  <si>
    <t>exp-tas.com.</t>
  </si>
  <si>
    <t>demdex.net.</t>
  </si>
  <si>
    <t>facebook.net.</t>
  </si>
  <si>
    <t>samsung.com.</t>
  </si>
  <si>
    <t>211.45.27.231</t>
  </si>
  <si>
    <t>linkedin.com.</t>
  </si>
  <si>
    <t>150.171.22.12</t>
  </si>
  <si>
    <t>mzstatic.com.</t>
  </si>
  <si>
    <t>17.253.142.4</t>
  </si>
  <si>
    <t>qualys.eu.</t>
  </si>
  <si>
    <t>162.159.153.243;162.159.152.21</t>
  </si>
  <si>
    <t>162.159.152.21;162.159.153.243</t>
  </si>
  <si>
    <t>g.live.com.</t>
  </si>
  <si>
    <t>13.107.246.38;13.107.213.38</t>
  </si>
  <si>
    <t>13.107.213.38;13.107.246.38</t>
  </si>
  <si>
    <t>googletagservices.com.</t>
  </si>
  <si>
    <t>oauthaccountmanager.googleapis.com.</t>
  </si>
  <si>
    <t>172.217.4.202;142.250.190.42;172.217.2.42;172.217.4.74;142.250.191.138;142.250.190.106;142.250.191.106;142.250.191.202;142.250.190.10;142.251.32.10;142.250.190.138;172.217.1.106;142.251.34.234;142.250.190.74;142.250.191.170;142.250.191.234</t>
  </si>
  <si>
    <t>172.217.1.106;142.251.34.234;142.250.190.10;142.250.190.106;142.251.32.10;172.217.4.74;142.250.191.170;142.250.190.42;142.250.191.234;142.250.191.202;142.250.191.138;142.250.190.138;142.250.190.74;142.250.191.106;172.217.2.42</t>
  </si>
  <si>
    <t>applovin.com.</t>
  </si>
  <si>
    <t>34.54.184.105</t>
  </si>
  <si>
    <t>searchnotifications-pa.googleapis.com.</t>
  </si>
  <si>
    <t>142.251.32.10;172.217.4.74;142.251.34.234;172.217.1.106;142.250.190.74;142.250.190.42;142.250.191.234;142.250.190.10;142.250.191.202;142.250.191.170;142.250.190.138;142.250.190.106;142.250.191.106;172.217.5.10;142.250.191.138;172.217.2.42</t>
  </si>
  <si>
    <t>142.250.191.202;142.250.191.106;142.250.191.170;142.251.32.10;142.250.190.74;142.250.190.106;142.250.190.138;142.250.190.42;142.250.190.10;172.217.5.10;172.217.4.202;142.250.191.138;172.217.2.42;142.251.34.234;142.250.191.234;172.217.1.106</t>
  </si>
  <si>
    <t>adtrafficquality.google.</t>
  </si>
  <si>
    <t>142.250.190.4</t>
  </si>
  <si>
    <t>amazon-adsystem.com.</t>
  </si>
  <si>
    <t>52.205.243.115;54.145.59.57;52.200.46.40</t>
  </si>
  <si>
    <t>52.200.46.40;54.145.59.57;52.205.243.115</t>
  </si>
  <si>
    <t>pangle.io.</t>
  </si>
  <si>
    <t>criteo.com.</t>
  </si>
  <si>
    <t>23.185.0.4</t>
  </si>
  <si>
    <t>appcenter.ms.</t>
  </si>
  <si>
    <t>adnxs.com.</t>
  </si>
  <si>
    <t>68.67.178.10;68.67.160.132;68.67.181.248;68.67.179.89;68.67.181.211;68.67.161.208;68.67.160.75;68.67.160.186;68.67.179.155;68.67.179.153;68.67.179.87;68.67.179.164</t>
  </si>
  <si>
    <t>104.254.150.241;104.254.151.68;104.254.151.69;104.254.151.60;104.254.148.252;104.254.148.251;104.254.151.36</t>
  </si>
  <si>
    <t>safebrowsing.apple.</t>
  </si>
  <si>
    <t>fnop.net.</t>
  </si>
  <si>
    <t>64.68.202.11</t>
  </si>
  <si>
    <t>svc.ms.</t>
  </si>
  <si>
    <t>ipv4only.arpa.</t>
  </si>
  <si>
    <t>192.0.0.171;192.0.0.170</t>
  </si>
  <si>
    <t>192.0.0.170;192.0.0.171</t>
  </si>
  <si>
    <t>vungle.com.</t>
  </si>
  <si>
    <t>141.193.213.10;141.193.213.11</t>
  </si>
  <si>
    <t>samsungcloud.com.</t>
  </si>
  <si>
    <t>apple.map.fastly.net.</t>
  </si>
  <si>
    <t>151.101.151.6</t>
  </si>
  <si>
    <t>151.101.67.6;151.101.3.6;151.101.131.6;151.101.195.6</t>
  </si>
  <si>
    <t>peoplestack-pa.googleapis.com.</t>
  </si>
  <si>
    <t>172.217.4.202;142.250.190.10;142.250.191.106;172.217.2.42;142.250.191.234;142.250.191.170;142.251.34.234;142.250.190.138;172.217.5.10;172.217.1.106;142.250.191.138;142.250.190.74;142.251.32.10;142.250.191.202;142.250.190.42;142.250.190.106</t>
  </si>
  <si>
    <t>142.250.190.10;142.250.191.170;142.250.191.202;172.217.4.202;142.250.190.106;172.217.2.42;172.217.4.74;142.250.190.138;172.217.5.10;172.217.1.106;142.250.191.234;142.250.191.106;142.251.34.234;142.251.32.10;142.250.191.138;172.217.4.42</t>
  </si>
  <si>
    <t>taboola.com.</t>
  </si>
  <si>
    <t>151.101.130.132;151.101.194.132;151.101.66.132;151.101.2.132</t>
  </si>
  <si>
    <t>151.101.130.132;151.101.66.132;151.101.194.132;151.101.2.132</t>
  </si>
  <si>
    <t>msedge.net.</t>
  </si>
  <si>
    <t>204.79.197.197</t>
  </si>
  <si>
    <t>alssys.vn.</t>
  </si>
  <si>
    <t>144.48.22.40</t>
  </si>
  <si>
    <t>spotify.com.</t>
  </si>
  <si>
    <t>35.186.224.24</t>
  </si>
  <si>
    <t>meetings.googleapis.com.</t>
  </si>
  <si>
    <t>142.250.190.74;142.250.191.170;142.250.191.106;142.250.190.10;172.217.4.74;172.217.2.42;142.250.190.106;172.217.1.106;142.250.191.234;142.250.191.202;172.217.4.202;142.251.32.10;142.251.34.234;142.250.190.138;142.250.191.138;142.250.190.42</t>
  </si>
  <si>
    <t>142.250.191.234;142.250.190.138;142.250.191.138;142.250.191.170;172.217.2.42;172.217.4.42;172.217.4.74;172.217.5.10;142.250.190.42;142.250.190.74;172.217.4.202;142.250.190.10;142.250.191.202;142.251.32.10;172.217.1.106;142.250.191.106</t>
  </si>
  <si>
    <t>inmobi.com.</t>
  </si>
  <si>
    <t>35.212.28.75</t>
  </si>
  <si>
    <t>msftconnecttest.com.</t>
  </si>
  <si>
    <t>maersk.net.</t>
  </si>
  <si>
    <t>165.160.13.20;165.160.15.20;203.156.12.154</t>
  </si>
  <si>
    <t>165.160.13.20;203.156.12.154;165.160.15.20</t>
  </si>
  <si>
    <t>ampproject.org.</t>
  </si>
  <si>
    <t>3gppnetwork.org.</t>
  </si>
  <si>
    <t>cloudflare.net.</t>
  </si>
  <si>
    <t>104.16.208.90;104.17.156.85</t>
  </si>
  <si>
    <t>illusionblack.com.</t>
  </si>
  <si>
    <t>i18n-pglstatp.com.</t>
  </si>
  <si>
    <t>akamaihd.net.</t>
  </si>
  <si>
    <t>branch.io.</t>
  </si>
  <si>
    <t>18.160.181.8;18.160.181.53;18.160.181.2;18.160.181.9</t>
  </si>
  <si>
    <t>18.160.181.2;18.160.181.53;18.160.181.8;18.160.181.9</t>
  </si>
  <si>
    <t>adobe.com.</t>
  </si>
  <si>
    <t>23.220.206.21;23.220.206.58</t>
  </si>
  <si>
    <t>23.213.53.142;23.213.53.135</t>
  </si>
  <si>
    <t>crashlyticsreports-pa.googleapis.com.</t>
  </si>
  <si>
    <t>142.250.191.131</t>
  </si>
  <si>
    <t>xgapromomanager-pa.googleapis.com.</t>
  </si>
  <si>
    <t>172.217.4.74;142.251.32.10;142.250.191.138;142.250.190.42;142.250.190.74;172.217.1.106;142.250.190.10;142.250.191.202;142.250.191.234;142.250.190.138;172.217.2.42;142.251.34.234;142.250.190.106;142.250.191.106;172.217.4.42;142.250.191.170</t>
  </si>
  <si>
    <t>142.250.190.42;142.250.191.170;142.250.190.10;142.251.32.10;142.250.190.74;142.250.191.138;172.217.2.42;142.250.191.234;142.251.34.234;142.250.190.106;142.250.191.106;172.217.4.74;142.250.191.202;172.217.1.106;142.250.190.138;172.217.5.10</t>
  </si>
  <si>
    <t>pubmatic.com.</t>
  </si>
  <si>
    <t>18.160.225.91;18.160.225.53;18.160.225.96;18.160.225.16</t>
  </si>
  <si>
    <t>3.169.202.47;3.169.202.21;3.169.202.33;3.169.202.17</t>
  </si>
  <si>
    <t>nelreports.net.</t>
  </si>
  <si>
    <t>rubiconproject.com.</t>
  </si>
  <si>
    <t>69.194.143.123</t>
  </si>
  <si>
    <t>adsrvr.org.</t>
  </si>
  <si>
    <t>3.170.103.117;3.170.103.25;3.170.103.83;3.170.103.29</t>
  </si>
  <si>
    <t>99.84.118.46;99.84.118.89;99.84.118.106;99.84.118.36</t>
  </si>
  <si>
    <t>unity3d.com.</t>
  </si>
  <si>
    <t>23.2.131.38</t>
  </si>
  <si>
    <t>shopeemobile.com.</t>
  </si>
  <si>
    <t>147.136.141.130</t>
  </si>
  <si>
    <t>azurefd.net.</t>
  </si>
  <si>
    <t>proactivebackend-pa.googleapis.com.</t>
  </si>
  <si>
    <t>142.250.191.106;142.250.190.138;172.217.2.42;142.250.190.74;172.217.1.106;142.250.191.138;142.250.191.202;142.250.190.10;142.250.190.42;172.217.4.202;142.250.190.106;142.250.191.170;142.251.32.10;142.250.191.234</t>
  </si>
  <si>
    <t>172.217.1.106;172.217.5.10;142.250.190.74;142.251.34.234;142.250.191.106;142.250.190.138;142.250.191.170;142.250.191.234;172.217.4.202;142.250.190.10;142.251.32.10;142.250.190.106;172.217.2.42;142.250.190.42;142.250.191.138;172.217.4.42</t>
  </si>
  <si>
    <t>netflix.com.</t>
  </si>
  <si>
    <t>3.211.157.115;3.225.92.8;54.160.93.182</t>
  </si>
  <si>
    <t>3.225.92.8;3.211.157.115;54.160.93.182</t>
  </si>
  <si>
    <t>playatoms-pa.googleapis.com.</t>
  </si>
  <si>
    <t>142.250.190.10;142.250.190.74;172.217.2.42;142.250.191.138;142.251.32.10;142.250.191.106;172.217.5.10;142.250.190.138;142.250.190.106;142.250.191.170;142.251.34.234;142.250.191.234;142.250.190.42;142.250.191.202;172.217.1.106;172.217.4.42</t>
  </si>
  <si>
    <t>142.250.191.138;142.251.32.10;172.217.4.42;142.250.191.234;142.251.34.234;142.250.190.138;172.217.2.42;142.250.190.10;142.250.191.202;142.250.190.42;142.250.191.106;142.250.190.74;142.250.190.106;142.250.191.170</t>
  </si>
  <si>
    <t>zscaler.com.</t>
  </si>
  <si>
    <t>cha</t>
  </si>
  <si>
    <t>52.10.132.43;52.34.226.155</t>
  </si>
  <si>
    <t>damco.com.</t>
  </si>
  <si>
    <t>204.74.99.103</t>
  </si>
  <si>
    <t>taobao.com.</t>
  </si>
  <si>
    <t>59.82.43.234;59.82.43.238;59.82.122.140;59.82.122.165;59.82.43.239;59.82.122.130;59.82.121.163;59.82.44.240</t>
  </si>
  <si>
    <t>59.82.122.140;59.82.44.240;59.82.121.163;59.82.43.239;59.82.43.238;59.82.122.165;59.82.43.234;59.82.122.130</t>
  </si>
  <si>
    <t>firebaseremoteconfigrealtime.googleapis.com.</t>
  </si>
  <si>
    <t>142.250.191.234;142.250.190.42;142.250.191.106;172.217.4.202;142.250.190.138;172.217.4.42;172.217.5.10;142.251.32.10;142.250.190.106;172.217.1.106;142.250.190.10;172.217.4.74;172.217.2.42;142.250.190.74;142.251.34.234;142.250.191.202</t>
  </si>
  <si>
    <t>142.250.190.74;172.217.5.10;172.217.4.202;142.250.190.42;142.250.191.202;142.250.191.106;142.250.190.10;142.250.191.170;142.250.191.138;142.251.34.234;172.217.1.106;172.217.4.42;142.250.190.106;142.250.191.234;142.250.190.138;172.217.2.42</t>
  </si>
  <si>
    <t>zdxcloud.net.</t>
  </si>
  <si>
    <t>mobilemaps-pa-gz.googleapis.com.</t>
  </si>
  <si>
    <t>216.239.38.135</t>
  </si>
  <si>
    <t>jsdelivr.net.</t>
  </si>
  <si>
    <t>1.2.3.4</t>
  </si>
  <si>
    <t>mobileconfiguration-pa.googleapis.com.</t>
  </si>
  <si>
    <t>142.250.190.74;142.250.191.234;142.250.191.202;142.251.32.10;142.250.191.138;172.217.2.42;172.217.4.74;142.250.190.42;142.250.190.138;142.250.190.106;172.217.1.106;142.250.190.10;142.250.191.170;142.251.34.234;142.250.191.106;172.217.4.202</t>
  </si>
  <si>
    <t>142.251.32.10;172.217.1.106;142.250.190.42;172.217.4.74;142.250.190.10;172.217.5.10;142.250.190.74;142.250.190.138;142.250.190.106;142.250.191.106;172.217.2.42;142.250.191.234;142.250.191.138;142.251.34.234;142.250.191.170;172.217.4.202</t>
  </si>
  <si>
    <t>zscaler.net.</t>
  </si>
  <si>
    <t>omtrdc.net.</t>
  </si>
  <si>
    <t>clarity.ms.</t>
  </si>
  <si>
    <t>13.89.188.82;52.173.199.90</t>
  </si>
  <si>
    <t>52.173.199.90;13.89.188.82</t>
  </si>
  <si>
    <t>2mdn.net.</t>
  </si>
  <si>
    <t>giphy.com.</t>
  </si>
  <si>
    <t>151.101.65.91;151.101.193.91;151.101.129.91;151.101.1.91</t>
  </si>
  <si>
    <t>151.101.1.91;151.101.65.91;151.101.193.91;151.101.129.91</t>
  </si>
  <si>
    <t>danaccess.net.</t>
  </si>
  <si>
    <t>217.167.147.132</t>
  </si>
  <si>
    <t>dmw.gov.ph.</t>
  </si>
  <si>
    <t>202.69.191.77</t>
  </si>
  <si>
    <t>heytapmobile.com.</t>
  </si>
  <si>
    <t>susercontent.com.</t>
  </si>
  <si>
    <t>oauth2.googleapis.com.</t>
  </si>
  <si>
    <t>142.251.176.95</t>
  </si>
  <si>
    <t>192.178.131.95</t>
  </si>
  <si>
    <t>licdn.com.</t>
  </si>
  <si>
    <t>live.net.</t>
  </si>
  <si>
    <t>weather.com.</t>
  </si>
  <si>
    <t>23.11.10.192</t>
  </si>
  <si>
    <t>macys.net.</t>
  </si>
  <si>
    <t>xiaomi.com.</t>
  </si>
  <si>
    <t>124.251.34.141</t>
  </si>
  <si>
    <t>casalemedia.com.</t>
  </si>
  <si>
    <t>104.18.26.193;104.18.27.193</t>
  </si>
  <si>
    <t>104.18.27.193;104.18.26.193</t>
  </si>
  <si>
    <t>twitter.com.</t>
  </si>
  <si>
    <t>172.66.0.227</t>
  </si>
  <si>
    <t>172.66.0.227;162.159.140.229</t>
  </si>
  <si>
    <t>voilatile-pa.googleapis.com.</t>
  </si>
  <si>
    <t>142.250.190.74;142.250.190.106;172.217.4.202;172.217.4.74;142.251.32.10;142.250.190.10;142.250.191.202;142.250.191.138;142.250.190.138;142.250.191.234;172.217.5.10;172.217.4.42;142.250.190.42;142.250.191.170;142.250.191.106;142.251.34.234</t>
  </si>
  <si>
    <t>142.250.190.138;172.217.1.106;142.251.32.10;172.217.2.42;142.250.190.106;172.217.4.42;172.217.4.74;172.217.4.202;142.250.190.74;142.250.191.138;142.250.191.202;142.251.34.234;142.250.191.234;142.250.191.106;142.250.190.42;142.250.191.170</t>
  </si>
  <si>
    <t>msftauth.net.</t>
  </si>
  <si>
    <t>amazon.com.</t>
  </si>
  <si>
    <t>98.87.170.71;98.82.161.185;98.87.170.74</t>
  </si>
  <si>
    <t>98.82.161.185;98.87.170.74;98.87.170.71</t>
  </si>
  <si>
    <t>storage.googleapis.com.</t>
  </si>
  <si>
    <t>142.250.190.123;142.250.190.155;142.250.190.91;142.250.191.123;142.250.190.27;142.250.191.219;172.217.4.219;172.217.4.91;142.250.191.251;172.217.1.123;172.217.2.59;142.250.190.59;142.250.191.187;142.251.32.27;142.250.191.155;172.217.4.59</t>
  </si>
  <si>
    <t>172.217.4.59;142.250.190.155;172.217.2.59;172.217.5.27;172.217.4.219;142.250.191.219;142.251.32.27;142.250.191.123;142.250.190.123;142.250.191.155;142.250.190.27;142.250.190.91;142.250.191.187;142.250.191.251;142.251.34.251;142.250.190.59</t>
  </si>
  <si>
    <t>jnn-pa.googleapis.com.</t>
  </si>
  <si>
    <t>142.250.191.106;172.217.4.42;142.250.191.202;172.217.1.106;142.250.190.106;172.217.4.202;142.250.191.170;142.250.190.42;142.250.191.138;142.251.32.10;142.250.190.74;142.250.191.234;142.250.190.138;142.251.34.234;172.217.2.42;142.250.190.10</t>
  </si>
  <si>
    <t>142.250.191.170;172.217.2.42;172.217.1.106;172.217.4.202;142.250.190.74;142.250.191.234;172.217.5.10;172.217.4.42;142.250.191.138;142.251.32.10;142.250.190.138;142.250.190.10;142.250.190.42;142.250.190.106;142.250.191.106;142.250.191.202</t>
  </si>
  <si>
    <t>kghcustoms.com.</t>
  </si>
  <si>
    <t>194.218.10.186</t>
  </si>
  <si>
    <t>googlezip.net.</t>
  </si>
  <si>
    <t>adobe.io.</t>
  </si>
  <si>
    <t>52.202.204.11;23.22.254.206;54.227.187.23;52.5.13.197</t>
  </si>
  <si>
    <t>23.22.254.206;52.202.204.11;52.5.13.197;54.227.187.23</t>
  </si>
  <si>
    <t>tiktok.com.</t>
  </si>
  <si>
    <t>23.59.169.49;23.59.169.56</t>
  </si>
  <si>
    <t>23.217.55.198;23.217.55.181;23.217.55.197;23.217.55.191;23.217.55.196;23.217.55.170</t>
  </si>
  <si>
    <t>network-auth.com.</t>
  </si>
  <si>
    <t>adsafeprotected.com.</t>
  </si>
  <si>
    <t>3.162.163.127;3.162.163.47;3.162.163.24;3.162.163.88</t>
  </si>
  <si>
    <t>18.154.101.23;18.154.101.105;18.154.101.120;18.154.101.97</t>
  </si>
  <si>
    <t>tpp.com.pe.</t>
  </si>
  <si>
    <t>52.205.198.106</t>
  </si>
  <si>
    <t>ibyteimg.com.</t>
  </si>
  <si>
    <t>openx.net.</t>
  </si>
  <si>
    <t>35.244.159.8;34.98.64.218</t>
  </si>
  <si>
    <t>msftncsi.com.</t>
  </si>
  <si>
    <t>photosdata-pa.googleapis.com.</t>
  </si>
  <si>
    <t>142.251.34.234;172.217.1.106;142.250.191.234;142.250.190.74;172.217.2.42;142.250.190.42;172.217.5.10;172.217.4.42;142.250.191.138;142.250.191.170;142.250.190.138;142.250.190.106;142.250.191.202;142.250.190.10;142.251.32.10;142.250.191.106</t>
  </si>
  <si>
    <t>172.217.1.106;142.250.190.10;142.250.191.106;172.217.4.42;172.217.4.74;142.251.34.234;142.250.191.138;172.217.2.42;172.217.5.10;142.251.32.10;142.250.191.170;142.250.190.106;142.250.191.202;142.250.190.138;142.250.191.234;172.217.4.202</t>
  </si>
  <si>
    <t>chatgpt.com.</t>
  </si>
  <si>
    <t>172.64.155.209;104.18.32.47</t>
  </si>
  <si>
    <t>geomobileservices-pa.googleapis.com.</t>
  </si>
  <si>
    <t>172.217.1.106;142.250.191.234;142.250.191.106;142.250.190.10;142.250.190.106;142.250.190.74;142.250.191.138;172.217.4.202;172.217.4.42;172.217.5.10;142.250.190.42;142.250.191.170;172.217.2.42;142.251.32.10;142.250.190.138;142.250.191.202</t>
  </si>
  <si>
    <t>172.217.4.42;142.250.190.106;172.217.2.42;142.250.191.138;142.250.190.42;142.250.190.138;142.250.191.170;142.250.190.74;142.250.191.202;142.251.32.10;172.217.1.106;172.217.4.202;142.251.34.234;142.250.191.106;142.250.190.10;142.250.191.234</t>
  </si>
  <si>
    <t>heytapdl.com.</t>
  </si>
  <si>
    <t>bidswitch.net.</t>
  </si>
  <si>
    <t>34.160.122.192</t>
  </si>
  <si>
    <t>smartadserver.com.</t>
  </si>
  <si>
    <t>34.160.41.36</t>
  </si>
  <si>
    <t>tiktokpangle.us.</t>
  </si>
  <si>
    <t>trafficmanager.net.</t>
  </si>
  <si>
    <t>baidu.com.</t>
  </si>
  <si>
    <t>182.61.202.236;182.61.244.149;182.61.202.46;182.61.244.44</t>
  </si>
  <si>
    <t>182.61.244.149;182.61.202.236;182.61.202.46;182.61.244.44</t>
  </si>
  <si>
    <t>instantmessaging-pa.googleapis.com.</t>
  </si>
  <si>
    <t>216.239.32.223;216.239.38.223;216.239.36.223;216.239.34.223</t>
  </si>
  <si>
    <t>216.239.34.223;216.239.32.223;216.239.36.223;216.239.38.223</t>
  </si>
  <si>
    <t>locationhistory-pa.googleapis.com.</t>
  </si>
  <si>
    <t>172.217.1.106;172.217.4.74;142.250.190.10;142.250.190.74;172.217.2.42;142.250.191.138;172.217.5.10;172.217.4.202;142.251.32.10;142.250.190.138;172.217.4.42;142.251.34.234;142.250.191.106;142.250.190.106;142.250.190.42;142.250.191.234</t>
  </si>
  <si>
    <t>172.217.4.202;142.250.190.74;142.250.191.202;142.250.190.42;142.251.32.10;172.217.1.106;142.250.191.170;142.250.191.234;172.217.4.42;142.250.191.138;142.250.190.106;142.250.190.138;142.250.191.106;172.217.5.10;142.250.190.10;172.217.2.42</t>
  </si>
  <si>
    <t>azure.net.</t>
  </si>
  <si>
    <t>20.236.44.162;20.70.246.20;20.76.201.171;20.231.239.246;20.112.250.133</t>
  </si>
  <si>
    <t>20.112.250.133;20.76.201.171;20.70.246.20;20.236.44.162;20.231.239.246</t>
  </si>
  <si>
    <t>doubleverify.com.</t>
  </si>
  <si>
    <t>199.60.103.65;199.60.103.165</t>
  </si>
  <si>
    <t>199.60.103.165;199.60.103.65</t>
  </si>
  <si>
    <t>capcutapi.com.</t>
  </si>
  <si>
    <t>samsungapps.com.</t>
  </si>
  <si>
    <t>213.71.30.154</t>
  </si>
  <si>
    <t>amp-endpoint3.com.</t>
  </si>
  <si>
    <t>creativecdn.com.</t>
  </si>
  <si>
    <t>185.184.8.90</t>
  </si>
  <si>
    <t>accountcapabilities-pa.googleapis.com.</t>
  </si>
  <si>
    <t>172.217.4.202;142.251.34.234;142.250.191.170;142.250.190.74;142.250.191.138;172.217.2.42;172.217.4.42;142.250.191.202;142.250.191.234;142.250.190.10;142.250.190.42;142.251.32.10;172.217.1.106;142.250.191.106;142.250.190.138;142.250.190.106</t>
  </si>
  <si>
    <t>142.250.190.106;142.250.190.138;142.250.190.74;172.217.4.74;142.250.191.138;172.217.1.106;142.251.34.234;172.217.4.202;142.250.190.42;142.250.190.10;142.250.191.106;142.250.191.202;172.217.2.42;142.250.191.170;142.250.191.234;142.251.32.10</t>
  </si>
  <si>
    <t>everesttech.net.</t>
  </si>
  <si>
    <t>208.91.169.4</t>
  </si>
  <si>
    <t>resolver.arpa.</t>
  </si>
  <si>
    <t>3lift.com.</t>
  </si>
  <si>
    <t>99.84.203.115;99.84.203.58;99.84.203.5;99.84.203.126</t>
  </si>
  <si>
    <t>99.84.203.58;99.84.203.115;99.84.203.5;99.84.203.126</t>
  </si>
  <si>
    <t>gmail.com.</t>
  </si>
  <si>
    <t>142.250.190.101</t>
  </si>
  <si>
    <t>142.250.191.197</t>
  </si>
  <si>
    <t>amp-endpoint2.com.</t>
  </si>
  <si>
    <t>cloudflareinsights.com.</t>
  </si>
  <si>
    <t>104.16.79.73;104.16.80.73</t>
  </si>
  <si>
    <t>aliyun.com.</t>
  </si>
  <si>
    <t>106.11.253.83;106.11.249.99;106.11.172.9;140.205.60.46;140.205.135.3;106.11.248.146</t>
  </si>
  <si>
    <t>106.11.249.99;140.205.60.46;106.11.172.9;106.11.248.146;106.11.253.83;140.205.135.3</t>
  </si>
  <si>
    <t>msauth.net.</t>
  </si>
  <si>
    <t>outbrain.com.</t>
  </si>
  <si>
    <t>151.101.66.132;151.101.130.132;151.101.194.132;151.101.2.132</t>
  </si>
  <si>
    <t>footprints-pa.googleapis.com.</t>
  </si>
  <si>
    <t>172.217.4.74;142.250.190.74;142.250.191.202;142.250.190.106;142.250.191.170;142.250.191.106;142.250.190.138;142.251.34.234;142.250.190.42;142.251.32.10;172.217.1.106;172.217.2.42;172.217.4.202;142.250.190.10;142.250.191.138;142.250.191.234</t>
  </si>
  <si>
    <t>142.251.32.10;172.217.1.106;142.250.190.74;172.217.2.42;142.250.190.10;142.250.190.42;142.250.191.138;142.250.191.202;142.250.191.106;142.250.191.170;142.250.191.234;142.250.190.138;172.217.4.202;142.250.190.106;142.251.34.234</t>
  </si>
  <si>
    <t>nr-data.net.</t>
  </si>
  <si>
    <t>google.cn.</t>
  </si>
  <si>
    <t>172.217.4.67</t>
  </si>
  <si>
    <t>chromewebstore.googleapis.com.</t>
  </si>
  <si>
    <t>172.217.2.42;142.250.190.10;172.217.1.106;142.250.190.138;142.250.190.74;142.250.191.138;142.250.191.202;142.250.191.234;172.217.4.74;142.250.190.42;172.217.4.42;142.250.190.106;142.250.191.170;142.250.191.106;172.217.5.10;172.217.4.202</t>
  </si>
  <si>
    <t>142.250.191.138;142.250.191.234;142.250.191.202;172.217.4.74;172.217.1.106;142.250.191.170;142.251.32.10;172.217.5.10;142.250.191.106;142.250.190.10;142.250.190.138;172.217.4.42;142.250.190.42;142.250.190.74;172.217.2.42;172.217.4.202</t>
  </si>
  <si>
    <t>launchdarkly.com.</t>
  </si>
  <si>
    <t>15.197.167.90;3.33.186.135</t>
  </si>
  <si>
    <t>oneget.org.</t>
  </si>
  <si>
    <t>104.43.254.102</t>
  </si>
  <si>
    <t>passwordsleakcheck-pa.googleapis.com.</t>
  </si>
  <si>
    <t>142.251.34.234;142.250.190.74;142.251.32.10;172.217.1.106;172.217.4.42;142.250.190.42;142.250.190.138;172.217.2.42;172.217.4.74;142.250.190.106;142.250.191.234;142.250.191.106;172.217.5.10;172.217.4.202;142.250.190.10;142.250.191.202</t>
  </si>
  <si>
    <t>142.250.190.42;142.250.190.138;142.250.191.138;172.217.4.202;142.250.190.74;172.217.1.106;172.217.2.42;142.251.32.10;142.250.191.170;142.250.190.10;142.250.190.106;172.217.4.74;142.250.191.106;142.250.191.202;142.250.191.234</t>
  </si>
  <si>
    <t>android-context-data.googleapis.com.</t>
  </si>
  <si>
    <t>142.250.191.234;172.217.1.106;142.251.32.10;142.250.190.42;172.217.4.202;142.250.191.170;142.250.191.106;172.217.4.74;172.217.4.42;142.250.190.106;142.250.190.10;172.217.2.42;142.250.190.138;142.250.190.74;142.250.191.202;142.250.191.138</t>
  </si>
  <si>
    <t>142.250.190.138;172.217.5.10;142.250.191.170;142.250.191.202;172.217.4.74;142.250.191.106;172.217.1.106;142.250.191.138;172.217.2.42;142.250.191.234;142.250.190.74;142.250.190.42;142.251.32.10;142.250.190.106;142.250.190.10</t>
  </si>
  <si>
    <t>browser-intake-datadoghq.com.</t>
  </si>
  <si>
    <t>3.233.158.112;3.233.158.111;3.233.158.114</t>
  </si>
  <si>
    <t>3.233.158.111;3.233.158.112;3.233.158.114</t>
  </si>
  <si>
    <t>nearbysharing-pa.googleapis.com.</t>
  </si>
  <si>
    <t>142.250.191.138;142.250.191.170;172.217.1.106;172.217.2.42;142.250.190.138;142.250.191.106;142.250.190.74;142.250.191.202;142.250.190.106;172.217.5.10;142.250.190.10;142.250.191.234;172.217.4.74;142.250.190.42;172.217.4.202;172.217.4.42</t>
  </si>
  <si>
    <t>172.217.4.42;142.250.190.74;172.217.1.106;172.217.2.42;142.250.191.234;142.250.191.202;142.250.190.106;142.250.190.138;172.217.4.202;142.250.190.42;172.217.4.74;142.250.191.106;142.251.32.10;142.251.34.234;142.250.191.138;142.250.190.10</t>
  </si>
  <si>
    <t>media.net.</t>
  </si>
  <si>
    <t>23.34.124.26</t>
  </si>
  <si>
    <t>id5-sync.com.</t>
  </si>
  <si>
    <t>141.95.98.64;162.19.138.116;162.19.138.83;162.19.138.120;162.19.138.82;162.19.138.119;162.19.138.117;57.129.85.132;141.95.98.65;141.95.33.120;162.19.138.118</t>
  </si>
  <si>
    <t>162.19.138.116;162.19.138.83;162.19.138.82;57.129.85.132;162.19.138.118;141.95.98.65;162.19.138.117;162.19.138.120;141.95.98.64;141.95.33.120;162.19.138.119</t>
  </si>
  <si>
    <t>criteo.net.</t>
  </si>
  <si>
    <t>line-scdn.net.</t>
  </si>
  <si>
    <t>miui.com.</t>
  </si>
  <si>
    <t>124.251.100.193</t>
  </si>
  <si>
    <t>onesignal.com.</t>
  </si>
  <si>
    <t>104.17.111.223;104.16.160.145</t>
  </si>
  <si>
    <t>104.16.160.145;104.17.111.223</t>
  </si>
  <si>
    <t>qq.com.cn.</t>
  </si>
  <si>
    <t>0.0.0.1</t>
  </si>
  <si>
    <t>opera.com.</t>
  </si>
  <si>
    <t>185.26.182.103;185.26.182.104</t>
  </si>
  <si>
    <t>adjust.com.</t>
  </si>
  <si>
    <t>76.76.21.21</t>
  </si>
  <si>
    <t>teads.tv.</t>
  </si>
  <si>
    <t>34.255.42.71;3.251.49.224;52.16.157.210</t>
  </si>
  <si>
    <t>mtgglobals.com.</t>
  </si>
  <si>
    <t>crwdcntrl.net.</t>
  </si>
  <si>
    <t>199.233.57.19;199.233.57.18;199.233.57.21;199.233.57.17;199.233.57.16;199.233.57.20</t>
  </si>
  <si>
    <t>199.233.57.21;199.233.57.18;199.233.57.19;199.233.57.20;199.233.57.17;199.233.57.16</t>
  </si>
  <si>
    <t>allawnos.com.</t>
  </si>
  <si>
    <t>rlcdn.com.</t>
  </si>
  <si>
    <t>shopee.io.</t>
  </si>
  <si>
    <t>alicdn.com.</t>
  </si>
  <si>
    <t>140.205.77.240;115.238.23.240</t>
  </si>
  <si>
    <t>deviceintegritytokens-pa.googleapis.com.</t>
  </si>
  <si>
    <t>172.217.4.42;142.251.32.10;142.250.190.138;142.250.190.42;142.250.190.74;142.250.190.106;142.250.191.170;172.217.4.74;172.217.5.10;142.250.191.202;142.250.191.138;172.217.1.106;172.217.2.42;142.250.191.234;142.251.34.234;142.250.191.106</t>
  </si>
  <si>
    <t>142.250.190.74;142.250.191.202;172.217.4.202;142.250.190.10;142.250.191.234;142.250.191.106;172.217.2.42;172.217.1.106;172.217.4.42;142.250.190.106;142.250.191.138;172.217.5.10;142.250.191.170;142.251.32.10;142.251.34.234;142.250.190.42</t>
  </si>
  <si>
    <t>360yield.com.</t>
  </si>
  <si>
    <t>52.215.195.113;52.49.186.77;52.51.2.235</t>
  </si>
  <si>
    <t>52.49.186.77;52.215.195.113;52.51.2.235</t>
  </si>
  <si>
    <t>temu.com.</t>
  </si>
  <si>
    <t>151.101.66.58;151.101.2.58</t>
  </si>
  <si>
    <t>151.101.2.58;151.101.66.58</t>
  </si>
  <si>
    <t>icloud-content.com.</t>
  </si>
  <si>
    <t>msftstatic.com.</t>
  </si>
  <si>
    <t>204.79.197.200</t>
  </si>
  <si>
    <t>imasdk.googleapis.com.</t>
  </si>
  <si>
    <t>142.250.191.202</t>
  </si>
  <si>
    <t>moloco.com.</t>
  </si>
  <si>
    <t>99.83.190.102;75.2.70.75</t>
  </si>
  <si>
    <t>appsflyer.com.</t>
  </si>
  <si>
    <t>54.224.150.238;52.21.86.112</t>
  </si>
  <si>
    <t>adform.net.</t>
  </si>
  <si>
    <t>37.157.5.86;37.157.5.49</t>
  </si>
  <si>
    <t>37.157.2.235;37.157.2.14</t>
  </si>
  <si>
    <t>yandex.net.</t>
  </si>
  <si>
    <t>213.180.204.242</t>
  </si>
  <si>
    <t>garena.com.</t>
  </si>
  <si>
    <t>148.222.71.12</t>
  </si>
  <si>
    <t>1rx.io.</t>
  </si>
  <si>
    <t>userlocation.googleapis.com.</t>
  </si>
  <si>
    <t>142.250.191.170;142.251.34.234;172.217.2.42;142.250.191.202;142.250.191.106;142.250.190.138;172.217.4.74;142.250.191.138;142.250.191.234;142.251.32.10;172.217.5.10;172.217.1.106;142.250.190.74;142.250.190.106;142.250.190.42;142.250.190.10</t>
  </si>
  <si>
    <t>142.251.34.234;172.217.4.74;142.250.190.42;142.250.191.234;172.217.4.202;142.250.191.202;142.250.191.138;142.250.190.74;142.250.190.106;172.217.1.106;142.250.190.10;172.217.2.42;142.250.191.170;142.251.32.10;142.250.191.106;172.217.4.42</t>
  </si>
  <si>
    <t>safebrowsingohttpgateway.googleapis.com.</t>
  </si>
  <si>
    <t>142.250.190.74;172.217.4.42;142.250.190.138;172.217.4.202;142.250.190.10;142.250.191.234;172.217.1.106;142.251.32.10;172.217.2.42;142.250.191.202;172.217.4.74;142.250.191.170;142.250.190.42;142.250.191.138;142.251.34.234;142.250.190.106</t>
  </si>
  <si>
    <t>142.250.190.10;142.250.190.138;142.250.191.202;172.217.1.106;142.251.32.10;172.217.4.202;172.217.2.42;142.250.191.106;142.250.191.138;172.217.4.74;142.250.190.74;142.250.190.42;142.251.34.234;142.250.190.106;142.250.191.234;142.250.191.170</t>
  </si>
  <si>
    <t>root-servers.net.</t>
  </si>
  <si>
    <t>shopee.sg.</t>
  </si>
  <si>
    <t>147.136.140.56</t>
  </si>
  <si>
    <t>147.136.172.151</t>
  </si>
  <si>
    <t>webex.com.</t>
  </si>
  <si>
    <t>144.196.130.69</t>
  </si>
  <si>
    <t>wbx2.com.</t>
  </si>
  <si>
    <t>13.59.223.204;13.59.223.207;13.59.223.205;13.59.223.206</t>
  </si>
  <si>
    <t>13.59.223.204;13.59.223.205;13.59.223.206;13.59.223.207</t>
  </si>
  <si>
    <t>bugsnag.com.</t>
  </si>
  <si>
    <t>18.160.181.69;18.160.181.78;18.160.181.118;18.160.181.123</t>
  </si>
  <si>
    <t>18.160.181.118;18.160.181.78;18.160.181.123;18.160.181.69</t>
  </si>
  <si>
    <t>quantserve.com.</t>
  </si>
  <si>
    <t>44.230.238.127;54.214.172.129;52.27.85.137</t>
  </si>
  <si>
    <t>54.214.172.129;52.27.85.137;44.230.238.127</t>
  </si>
  <si>
    <t>s-microsoft.com.</t>
  </si>
  <si>
    <t>tapad.com.</t>
  </si>
  <si>
    <t>34.96.66.233</t>
  </si>
  <si>
    <t>alipay.com.</t>
  </si>
  <si>
    <t>110.76.8.255;110.75.130.45</t>
  </si>
  <si>
    <t>110.75.130.45;110.76.8.255</t>
  </si>
  <si>
    <t>go-mpulse.net.</t>
  </si>
  <si>
    <t>mediatek.com.</t>
  </si>
  <si>
    <t>210.61.82.38</t>
  </si>
  <si>
    <t>wechat.com.</t>
  </si>
  <si>
    <t>43.155.124.49;43.154.240.170</t>
  </si>
  <si>
    <t>43.154.240.170;43.155.124.49</t>
  </si>
  <si>
    <t>byteoversea.net.</t>
  </si>
  <si>
    <t>byteglb.com.</t>
  </si>
  <si>
    <t>searchlabspartnerservice-pa.googleapis.com.</t>
  </si>
  <si>
    <t>172.217.1.106;142.250.190.10;142.250.190.106;142.250.190.42;172.217.5.10;142.250.190.138;142.251.34.234;142.250.190.74;172.217.4.202;142.250.191.106;142.251.32.10;172.217.2.42;142.250.191.202;142.250.191.170;142.250.191.138;142.250.191.234</t>
  </si>
  <si>
    <t>172.217.4.42;172.217.5.10;142.250.191.234;142.250.190.74;142.250.190.138;142.250.191.106;172.217.4.202;142.250.190.106;142.250.191.202;142.250.191.170;172.217.2.42;142.250.190.42;142.251.32.10;142.250.190.10;142.250.191.138;172.217.1.106</t>
  </si>
  <si>
    <t>maps.googleapis.com.</t>
  </si>
  <si>
    <t>172.217.4.42;142.250.190.106;142.250.190.10;142.250.191.106;142.250.190.42;172.217.2.42;142.250.191.234;172.217.5.10;142.250.191.170;142.251.34.234;142.250.191.138;172.217.4.74;142.250.191.202;172.217.4.202;142.250.190.74;142.251.32.10</t>
  </si>
  <si>
    <t>142.250.190.106;142.250.191.170;142.250.190.74;142.250.190.10;172.217.2.42;142.250.190.42;172.217.1.106;172.217.4.74;142.250.191.234;142.251.34.234;142.250.191.106;142.250.191.138;172.217.4.202;142.251.32.10;142.250.191.202;142.250.190.138</t>
  </si>
  <si>
    <t>app-analytics-services-att.com.</t>
  </si>
  <si>
    <t>csp.withgoogle.com.</t>
  </si>
  <si>
    <t>142.250.191.241</t>
  </si>
  <si>
    <t>142.250.190.17</t>
  </si>
  <si>
    <t>ipify.org.</t>
  </si>
  <si>
    <t>104.26.12.205;104.26.13.205;172.67.74.152</t>
  </si>
  <si>
    <t>104.26.13.205;104.26.12.205;172.67.74.152</t>
  </si>
  <si>
    <t>notifications-ueeshp-pa.googleapis.com.</t>
  </si>
  <si>
    <t>142.250.190.106;172.217.2.42;142.250.191.234;172.217.4.202;142.250.190.138;142.250.190.74;142.250.190.42;142.250.191.170;142.251.32.10;172.217.4.74;142.250.191.138;142.250.191.106;142.251.34.234;172.217.1.106;142.250.191.202;142.250.190.10</t>
  </si>
  <si>
    <t>142.250.190.74;142.251.32.10;142.250.191.138;142.251.34.234;142.250.190.42;172.217.2.42;142.250.191.234;142.250.190.10;142.250.191.170;142.250.191.106;172.217.1.106;142.250.191.202;172.217.4.74;142.250.190.106;142.250.190.138</t>
  </si>
  <si>
    <t>locationhistoryplacedetails-pa.googleapis.com.</t>
  </si>
  <si>
    <t>142.250.190.10;172.217.4.202;142.250.190.42;142.250.190.138;142.250.191.170;172.217.4.42;142.250.190.74;142.250.191.106;142.251.32.10;142.250.190.106;142.250.191.202;172.217.1.106;142.251.34.234;172.217.2.42;172.217.5.10;142.250.191.138</t>
  </si>
  <si>
    <t>172.217.1.106;142.250.191.170;142.250.191.234;172.217.4.42;172.217.2.42;142.250.190.10;172.217.4.202;142.250.191.106;142.251.34.234;142.250.191.202;142.251.32.10;142.250.190.138;142.250.190.106;142.250.191.138;172.217.4.74;142.250.190.74</t>
  </si>
  <si>
    <t>cookielaw.org.</t>
  </si>
  <si>
    <t>104.18.86.42;104.18.87.42</t>
  </si>
  <si>
    <t>aliyuncs.com.</t>
  </si>
  <si>
    <t>106.15.148.44</t>
  </si>
  <si>
    <t>33across.com.</t>
  </si>
  <si>
    <t>151.101.194.159</t>
  </si>
  <si>
    <t>pinterest.com.</t>
  </si>
  <si>
    <t>151.101.192.84;151.101.128.84;151.101.64.84;151.101.0.84</t>
  </si>
  <si>
    <t>151.101.0.84;151.101.64.84;151.101.128.84;151.101.192.84</t>
  </si>
  <si>
    <t>sharethrough.com.</t>
  </si>
  <si>
    <t>198.202.211.1</t>
  </si>
  <si>
    <t>amplitude.com.</t>
  </si>
  <si>
    <t>13.248.219.127;76.223.69.48</t>
  </si>
  <si>
    <t>76.223.69.48;13.248.219.127</t>
  </si>
  <si>
    <t>trustarc.com.</t>
  </si>
  <si>
    <t>141.193.213.20;141.193.213.21</t>
  </si>
  <si>
    <t>digitalassetlinks.googleapis.com.</t>
  </si>
  <si>
    <t>142.250.190.138;142.250.190.106;142.250.191.202;142.250.190.42;142.251.32.10;142.250.190.74;142.250.191.234;142.250.190.10;172.217.4.202;142.250.191.106;142.251.34.234;172.217.4.42;172.217.1.106;172.217.2.42;142.250.191.138;142.250.191.170</t>
  </si>
  <si>
    <t>142.250.191.106;142.250.191.234;172.217.4.74;172.217.2.42;142.250.190.106;142.250.190.138;172.217.1.106;172.217.5.10;142.250.191.202;142.250.191.170;142.251.34.234;142.250.190.10;172.217.4.42;172.217.4.202;142.251.32.10;142.250.191.138</t>
  </si>
  <si>
    <t>edgesuite.net.</t>
  </si>
  <si>
    <t>qualtrics.com.</t>
  </si>
  <si>
    <t>23.21.43.10;50.17.152.14</t>
  </si>
  <si>
    <t>50.17.152.14;23.21.43.10</t>
  </si>
  <si>
    <t>lijit.com.</t>
  </si>
  <si>
    <t>13.249.141.29;13.249.141.24;13.249.141.30;13.249.141.9</t>
  </si>
  <si>
    <t>13.226.251.120;13.226.251.80;13.226.251.48;13.226.251.20</t>
  </si>
  <si>
    <t>ttdns2.com.</t>
  </si>
  <si>
    <t>semanticlocation-pa.googleapis.com.</t>
  </si>
  <si>
    <t>142.250.190.138;142.251.34.234;172.217.4.74;142.251.32.10;142.250.190.42;172.217.5.10;142.250.191.138;172.217.4.202;142.250.191.106;172.217.1.106;142.250.191.170;142.250.191.202;142.250.190.10;142.250.191.234;172.217.4.42;172.217.2.42</t>
  </si>
  <si>
    <t>142.250.190.10;142.250.191.106;172.217.2.42;142.250.190.106;142.250.191.170;172.217.4.74;142.250.190.74;142.251.32.10;172.217.4.202;142.250.191.138;172.217.4.42;142.250.191.234;142.250.190.42;172.217.5.10;142.250.191.202;172.217.1.106</t>
  </si>
  <si>
    <t>stackadapt.com.</t>
  </si>
  <si>
    <t>34.204.55.14</t>
  </si>
  <si>
    <t>federatedcompute-pa.googleapis.com.</t>
  </si>
  <si>
    <t>142.250.190.106;142.250.190.138;172.217.1.106;172.217.5.10;142.250.191.234;142.250.190.42;142.250.190.74;142.250.191.106;142.250.190.10;172.217.4.74;172.217.4.202;142.250.191.202;142.250.191.170;142.251.32.10;142.251.34.234;142.250.191.138</t>
  </si>
  <si>
    <t>172.217.2.42;142.250.190.42;142.250.190.138;142.250.191.106;142.250.190.74;142.250.191.138;142.250.191.202;142.250.191.234;142.250.190.106;142.250.191.170;142.250.190.10;142.251.32.10;172.217.4.202;172.217.1.106;172.217.4.74</t>
  </si>
  <si>
    <t>samsungosp.com.</t>
  </si>
  <si>
    <t>onenote.net.</t>
  </si>
  <si>
    <t>20.112.250.133;20.70.246.20;20.76.201.171;20.231.239.246;20.236.44.162</t>
  </si>
  <si>
    <t>androidplatformbackuprestore-pa.googleapis.com.</t>
  </si>
  <si>
    <t>142.250.191.138;142.250.191.202;142.250.190.106;142.250.190.42;142.251.32.10;142.250.190.138;142.250.190.10;172.217.4.202;142.250.190.74;142.250.191.234;172.217.1.106;172.217.2.42;142.250.191.170;142.251.34.234;142.250.191.106;172.217.4.42</t>
  </si>
  <si>
    <t>172.217.4.42;172.217.4.74;142.250.191.170;142.250.190.106;142.251.32.10;172.217.2.42;142.251.34.234;142.250.190.138;172.217.5.10;142.250.190.10;142.250.190.74;172.217.4.202;172.217.1.106;142.250.191.106;142.250.191.138;142.250.190.42</t>
  </si>
  <si>
    <t>smaato.net.</t>
  </si>
  <si>
    <t>pubsub.googleapis.com.</t>
  </si>
  <si>
    <t>172.217.2.42;142.251.32.10;142.250.190.42;142.250.190.74;142.250.190.10;142.250.191.234;172.217.4.202;142.250.191.106;172.217.4.42;172.217.1.106;142.250.190.138;142.250.190.106;142.251.34.234;142.250.191.202;142.250.191.170;142.250.191.138</t>
  </si>
  <si>
    <t>142.250.190.42;142.250.191.138;142.250.191.106;172.217.4.74;142.251.34.234;142.250.190.106;172.217.4.202;142.250.190.138;172.217.5.10;142.250.191.234;142.251.32.10;142.250.190.74;142.250.191.170;172.217.4.42;142.250.191.202;142.250.190.10</t>
  </si>
  <si>
    <t>snapchat.com.</t>
  </si>
  <si>
    <t>34.149.46.130</t>
  </si>
  <si>
    <t>restrictedapps-pa.googleapis.com.</t>
  </si>
  <si>
    <t>142.250.190.74;142.250.191.234;142.251.34.234;142.250.191.106;142.250.190.10;172.217.2.42;142.250.190.42;142.251.32.10;172.217.4.42;172.217.1.106;142.250.191.170;142.250.190.106;142.250.191.138;142.250.191.202;142.250.190.138</t>
  </si>
  <si>
    <t>142.251.34.234;142.250.191.202;172.217.1.106;142.250.190.42;142.250.191.234;142.250.191.106;172.217.4.202;142.250.191.138;142.250.191.170;142.251.32.10;142.250.190.10;142.250.190.74;142.250.190.138;172.217.2.42;142.250.190.106</t>
  </si>
  <si>
    <t>force.com.</t>
  </si>
  <si>
    <t>104.109.11.129;23.1.99.130;184.31.10.133;184.31.3.130;104.109.10.129;23.1.106.133;184.25.179.132;23.1.35.132</t>
  </si>
  <si>
    <t>23.1.35.132;104.109.10.129;184.25.179.132;184.31.3.130;184.31.10.133;23.1.106.133;104.109.11.129;23.1.99.130</t>
  </si>
  <si>
    <t>sc-gw.com.</t>
  </si>
  <si>
    <t>newrelic.com.</t>
  </si>
  <si>
    <t>151.101.130.217;151.101.66.217;151.101.2.217;151.101.194.217</t>
  </si>
  <si>
    <t>dns.google.</t>
  </si>
  <si>
    <t>8.8.8.8;8.8.4.4</t>
  </si>
  <si>
    <t>xboxlive.com.</t>
  </si>
  <si>
    <t>20.112.250.133;20.76.201.171;20.231.239.246;20.236.44.162;20.70.246.20</t>
  </si>
  <si>
    <t>20.112.250.133;20.236.44.162;20.70.246.20;20.231.239.246;20.76.201.171</t>
  </si>
  <si>
    <t>tiktokcdn-eu.com.</t>
  </si>
  <si>
    <t>shopee.com.my.</t>
  </si>
  <si>
    <t>202.181.90.194</t>
  </si>
  <si>
    <t>dccnet.com.cn.</t>
  </si>
  <si>
    <t>vivoglobal.com.</t>
  </si>
  <si>
    <t>156.59.238.20</t>
  </si>
  <si>
    <t>xiaomi.net.</t>
  </si>
  <si>
    <t>183.84.7.241;124.251.34.141</t>
  </si>
  <si>
    <t>agkn.com.</t>
  </si>
  <si>
    <t>bytefcdn-oversea.com.</t>
  </si>
  <si>
    <t>t-msedge.net.</t>
  </si>
  <si>
    <t>yandex.ru.</t>
  </si>
  <si>
    <t>77.88.44.55;77.88.55.88;5.255.255.77</t>
  </si>
  <si>
    <t>5.255.255.77;77.88.44.55;77.88.55.88</t>
  </si>
  <si>
    <t>alibabadns.com.</t>
  </si>
  <si>
    <t>sharepointonline.com.</t>
  </si>
  <si>
    <t>65.55.93.60</t>
  </si>
  <si>
    <t>adobedc.net.</t>
  </si>
  <si>
    <t>translate.googleapis.com.</t>
  </si>
  <si>
    <t>172.217.2.42</t>
  </si>
  <si>
    <t>172.217.1.106</t>
  </si>
  <si>
    <t>snapkit.com.</t>
  </si>
  <si>
    <t>216.239.38.21;216.239.36.21;216.239.32.21;216.239.34.21</t>
  </si>
  <si>
    <t>216.239.38.21;216.239.32.21;216.239.36.21;216.239.34.21</t>
  </si>
  <si>
    <t>dotomi.com.</t>
  </si>
  <si>
    <t>159.127.43.8;159.127.40.136</t>
  </si>
  <si>
    <t>159.127.40.136;159.127.43.8</t>
  </si>
  <si>
    <t>voledevice-pa.googleapis.com.</t>
  </si>
  <si>
    <t>142.250.190.42;142.250.191.234;142.250.190.106;142.250.190.74;142.250.191.106;142.251.34.234;142.250.191.170;172.217.5.10;142.251.32.10;172.217.4.42;142.250.191.202;172.217.1.106;172.217.4.202;142.250.190.138;142.250.191.138;172.217.2.42</t>
  </si>
  <si>
    <t>172.217.1.106;142.250.191.234;172.217.4.74;172.217.4.202;142.250.191.106;142.250.190.106;142.250.190.74;142.250.190.10;142.251.32.10;142.251.34.234;172.217.2.42;142.250.191.138;142.250.191.170;142.250.190.138;142.250.190.42;142.250.191.202</t>
  </si>
  <si>
    <t>phonedeviceverification-pa.googleapis.com.</t>
  </si>
  <si>
    <t>142.250.190.106;142.250.191.234;172.217.4.74;172.217.4.42;142.250.190.42;142.251.32.10;172.217.1.106;172.217.4.202;142.250.191.202;142.251.34.234;142.250.190.74;172.217.2.42;142.250.190.10;142.250.191.170;142.250.190.138;142.250.191.138</t>
  </si>
  <si>
    <t>142.250.190.74;172.217.4.42;172.217.4.74;142.250.191.106;142.250.190.10;142.250.190.138;172.217.2.42;142.250.190.106;142.250.191.234;172.217.1.106;142.250.190.42;172.217.5.10;172.217.4.202;142.251.32.10;142.251.34.234;142.250.191.138</t>
  </si>
  <si>
    <t>ajax.googleapis.com.</t>
  </si>
  <si>
    <t>142.250.191.106</t>
  </si>
  <si>
    <t>meta.app.</t>
  </si>
  <si>
    <t>34.202.175.143</t>
  </si>
  <si>
    <t>translate-pa.googleapis.com.</t>
  </si>
  <si>
    <t>172.217.1.106;142.250.190.106;142.250.190.74;142.250.190.42;142.250.190.138;142.250.191.234;142.250.191.202;172.217.4.42;142.250.190.10;142.251.32.10;142.251.34.234;172.217.5.10;142.250.191.138;172.217.4.74;172.217.4.202;142.250.191.170</t>
  </si>
  <si>
    <t>172.217.4.42;172.217.2.42;142.250.190.74;142.250.190.10;142.250.190.42;142.250.191.106;142.251.32.10;172.217.1.106;142.250.191.170;142.251.34.234;142.250.191.234;142.250.190.138;172.217.4.74;142.250.191.202;142.250.191.138;142.250.190.106</t>
  </si>
  <si>
    <t>braze.com.</t>
  </si>
  <si>
    <t>104.17.228.60;104.17.227.60</t>
  </si>
  <si>
    <t>cloudflare-dns.com.</t>
  </si>
  <si>
    <t>104.16.249.249;104.16.248.249</t>
  </si>
  <si>
    <t>messenger.com.</t>
  </si>
  <si>
    <t>157.240.26.18</t>
  </si>
  <si>
    <t>salesforce.com.</t>
  </si>
  <si>
    <t>184.31.3.130;104.109.11.129;184.31.10.133;23.1.106.133;104.109.10.129;23.1.35.132;23.1.99.130;184.25.179.132</t>
  </si>
  <si>
    <t>23.1.106.133;184.25.179.132;184.31.3.130;104.109.10.129;104.109.11.129;23.1.35.132;23.1.99.130;184.31.10.133</t>
  </si>
  <si>
    <t>onetag-sys.com.</t>
  </si>
  <si>
    <t>51.222.39.187;51.222.239.230;51.222.39.185;51.222.39.184;51.222.239.232;51.222.39.186</t>
  </si>
  <si>
    <t>51.222.39.186;51.222.39.185;51.222.239.232;51.222.239.230;51.222.39.187;51.222.39.184</t>
  </si>
  <si>
    <t>bidr.io.</t>
  </si>
  <si>
    <t>microsoftonline.us.</t>
  </si>
  <si>
    <t>pay-users-pa.googleapis.com.</t>
  </si>
  <si>
    <t>192.178.157.92</t>
  </si>
  <si>
    <t>142.251.182.92</t>
  </si>
  <si>
    <t>zemanta.com.</t>
  </si>
  <si>
    <t>23.11.19.110</t>
  </si>
  <si>
    <t>23.204.51.107</t>
  </si>
  <si>
    <t>mi.com.</t>
  </si>
  <si>
    <t>161.117.97.92;161.117.94.231</t>
  </si>
  <si>
    <t>161.117.94.231;161.117.97.92</t>
  </si>
  <si>
    <t>jquery.com.</t>
  </si>
  <si>
    <t>104.18.156.119;104.18.155.119</t>
  </si>
  <si>
    <t>104.18.155.119;104.18.156.119</t>
  </si>
  <si>
    <t>fbpigeon.com.</t>
  </si>
  <si>
    <t>turn.com.</t>
  </si>
  <si>
    <t>onetrust.com.</t>
  </si>
  <si>
    <t>104.18.32.137;172.64.155.119</t>
  </si>
  <si>
    <t>mixpanel.com.</t>
  </si>
  <si>
    <t>34.117.152.135</t>
  </si>
  <si>
    <t>reddit.com.</t>
  </si>
  <si>
    <t>151.101.193.140;151.101.129.140;151.101.65.140;151.101.1.140</t>
  </si>
  <si>
    <t>151.101.65.140;151.101.1.140;151.101.193.140;151.101.129.140</t>
  </si>
  <si>
    <t>securitydomain-pa.googleapis.com.</t>
  </si>
  <si>
    <t>142.250.191.170;142.250.190.42;142.251.32.10;142.250.190.106;172.217.5.10;142.251.34.234;172.217.4.74;142.250.190.10;172.217.4.202;172.217.1.106;142.250.190.74;142.250.190.138;172.217.2.42;142.250.191.202;142.250.191.138;142.250.191.234</t>
  </si>
  <si>
    <t>142.250.190.106;142.250.190.74;142.250.191.106;142.250.190.10;172.217.4.74;142.250.191.202;142.250.191.234;172.217.5.10;172.217.4.42;142.250.191.138;142.250.190.42;142.251.32.10;142.251.34.234;172.217.2.42;172.217.1.106;142.250.190.138</t>
  </si>
  <si>
    <t>zoom.us.</t>
  </si>
  <si>
    <t>170.114.52.2</t>
  </si>
  <si>
    <t>lamssettings-pa.googleapis.com.</t>
  </si>
  <si>
    <t>142.250.190.106;142.250.190.42;142.251.32.10;142.250.190.10;172.217.4.42;172.217.1.106;172.217.2.42;142.250.191.234;142.250.190.138;142.250.191.170;172.217.5.10;142.250.190.74;142.250.191.138;172.217.4.74;142.250.191.202;142.251.34.234</t>
  </si>
  <si>
    <t>142.250.191.202;172.217.4.202;142.250.190.10;172.217.4.42;142.251.34.234;142.250.190.106;142.250.190.42;142.250.191.106;142.250.190.74;172.217.5.10;142.250.190.138;142.250.191.234;142.251.32.10;172.217.4.74;172.217.1.106;172.217.2.42</t>
  </si>
  <si>
    <t>atlassian.com.</t>
  </si>
  <si>
    <t>52.84.127.19;52.84.127.90;52.84.127.74;52.84.127.98</t>
  </si>
  <si>
    <t>52.84.127.98;52.84.127.19;52.84.127.74;52.84.127.90</t>
  </si>
  <si>
    <t>inner-active.mobi.</t>
  </si>
  <si>
    <t>54.225.119.21;62.219.50.32</t>
  </si>
  <si>
    <t>stickyadstv.com.</t>
  </si>
  <si>
    <t>51.255.169.33</t>
  </si>
  <si>
    <t>qlivecdn.com.</t>
  </si>
  <si>
    <t>xboxservices.com.</t>
  </si>
  <si>
    <t>tiktokcdn-us.com.</t>
  </si>
  <si>
    <t>growth-pa.googleapis.com.</t>
  </si>
  <si>
    <t>142.250.190.74;142.250.190.42;142.250.191.106;172.217.1.106;142.250.191.202;142.250.191.234;172.217.2.42;142.250.190.10;172.217.4.202;142.250.191.170;142.250.190.106;142.250.191.138;142.250.190.138;172.217.4.42;142.251.32.10;172.217.5.10</t>
  </si>
  <si>
    <t>142.251.32.10;142.250.190.42;142.250.190.10;142.251.34.234;142.250.191.106;172.217.4.202;172.217.2.42;142.250.191.234;172.217.1.106;142.250.190.138;142.250.191.170;142.250.191.202;142.250.190.106;142.250.191.138;172.217.4.42;142.250.190.74</t>
  </si>
  <si>
    <t>a-mo.net.</t>
  </si>
  <si>
    <t>18.160.102.9;18.160.102.128;18.160.102.5;18.160.102.64</t>
  </si>
  <si>
    <t>18.160.102.128;18.160.102.5;18.160.102.9;18.160.102.64</t>
  </si>
  <si>
    <t>ncca.mil.</t>
  </si>
  <si>
    <t>samsungdm.com.</t>
  </si>
  <si>
    <t>pinimg.com.</t>
  </si>
  <si>
    <t>151.101.64.84;151.101.192.84;151.101.0.84;151.101.128.84</t>
  </si>
  <si>
    <t>151.101.192.84;151.101.0.84;151.101.128.84;151.101.64.84</t>
  </si>
  <si>
    <t>a2z.com.</t>
  </si>
  <si>
    <t>yieldmo.com.</t>
  </si>
  <si>
    <t>35.212.43.67</t>
  </si>
  <si>
    <t>t.co.</t>
  </si>
  <si>
    <t>162.159.140.229</t>
  </si>
  <si>
    <t>fwmrm.net.</t>
  </si>
  <si>
    <t>99.83.195.29;13.248.238.180</t>
  </si>
  <si>
    <t>appier.net.</t>
  </si>
  <si>
    <t>35.241.60.58</t>
  </si>
  <si>
    <t>lazada.com.</t>
  </si>
  <si>
    <t>47.246.165.39;47.246.167.10;47.246.167.254;47.246.165.111;47.246.167.114;47.246.165.182;47.246.167.7;47.246.165.110</t>
  </si>
  <si>
    <t>47.246.167.10;47.246.165.182;47.246.165.39;47.246.167.7;47.246.167.254;47.246.165.110;47.246.167.114;47.246.165.111</t>
  </si>
  <si>
    <t>unrulymedia.com.</t>
  </si>
  <si>
    <t>52.84.127.48;52.84.127.80;52.84.127.116;52.84.127.17</t>
  </si>
  <si>
    <t>52.84.127.17;52.84.127.80;52.84.127.116;52.84.127.48</t>
  </si>
  <si>
    <t>line.me.</t>
  </si>
  <si>
    <t>147.92.243.206</t>
  </si>
  <si>
    <t>adsmoloco.com.</t>
  </si>
  <si>
    <t>198.185.159.144</t>
  </si>
  <si>
    <t>nist.gov.</t>
  </si>
  <si>
    <t>172.65.90.27;172.65.90.25;172.65.90.24;172.65.90.26</t>
  </si>
  <si>
    <t>172.65.90.25;172.65.90.26;172.65.90.24;172.65.90.27</t>
  </si>
  <si>
    <t>hotjar.com.</t>
  </si>
  <si>
    <t>99.84.203.76;99.84.203.128;99.84.203.110;99.84.203.6</t>
  </si>
  <si>
    <t>99.84.203.110;99.84.203.76;99.84.203.128;99.84.203.6</t>
  </si>
  <si>
    <t>mobilemaps.googleapis.com.</t>
  </si>
  <si>
    <t>indexww.com.</t>
  </si>
  <si>
    <t>104.18.24.18;104.18.25.18</t>
  </si>
  <si>
    <t>104.18.25.18;104.18.24.18</t>
  </si>
  <si>
    <t>addons-pa.googleapis.com.</t>
  </si>
  <si>
    <t>172.217.4.202;142.250.190.42;142.251.34.234;142.250.190.74;142.250.191.202;142.250.191.106;172.217.5.10;142.250.190.10;172.217.4.74;142.250.190.106;172.217.2.42;172.217.4.42;142.250.191.138;142.250.191.234;142.251.32.10;142.250.191.170</t>
  </si>
  <si>
    <t>142.250.190.10;172.217.4.202;142.250.190.42;172.217.5.10;142.250.191.106;142.251.32.10;142.250.191.170;172.217.2.42;142.250.191.202;142.250.191.138;142.250.190.74;172.217.4.74;172.217.1.106;142.251.34.234;142.250.190.106;142.250.191.234</t>
  </si>
  <si>
    <t>admanmedia.com.</t>
  </si>
  <si>
    <t>23.212.215.136</t>
  </si>
  <si>
    <t>yammer.com.</t>
  </si>
  <si>
    <t>13.107.6.159</t>
  </si>
  <si>
    <t>calendarpushsubscription-pa.googleapis.com.</t>
  </si>
  <si>
    <t>172.217.1.106;142.250.191.234;142.251.32.10;142.250.191.170;172.217.4.202;142.250.190.138;142.250.191.106;142.250.191.138;172.217.4.42;142.251.34.234;142.250.190.10;142.250.191.202;142.250.190.42;142.250.190.74;142.250.190.106</t>
  </si>
  <si>
    <t>142.250.190.42;142.250.191.106;142.250.191.138;172.217.2.42;172.217.1.106;142.250.191.234;142.251.32.10;142.250.190.138;142.250.191.170;172.217.4.42;142.250.191.202;142.250.190.10;142.250.190.106;142.250.190.74;172.217.5.10;172.217.4.74</t>
  </si>
  <si>
    <t>tizen.org.</t>
  </si>
  <si>
    <t>52.84.127.128;52.84.127.16;52.84.127.43;52.84.127.83</t>
  </si>
  <si>
    <t>52.84.127.128;52.84.127.83;52.84.127.16;52.84.127.43</t>
  </si>
  <si>
    <t>contextweb.com.</t>
  </si>
  <si>
    <t>74.214.194.128</t>
  </si>
  <si>
    <t>heytapmobi.com.</t>
  </si>
  <si>
    <t>49.7.118.241</t>
  </si>
  <si>
    <t>loopme.me.</t>
  </si>
  <si>
    <t>35.206.149.249</t>
  </si>
  <si>
    <t>nflxso.net.</t>
  </si>
  <si>
    <t>usabilla.com.</t>
  </si>
  <si>
    <t>52.84.127.104;52.84.127.78;52.84.127.74;52.84.127.51</t>
  </si>
  <si>
    <t>52.84.127.74;52.84.127.78;52.84.127.104;52.84.127.51</t>
  </si>
  <si>
    <t>edgekey.net.</t>
  </si>
  <si>
    <t>twimg.com.</t>
  </si>
  <si>
    <t>int08h.com.</t>
  </si>
  <si>
    <t>151.101.65.195;151.101.1.195</t>
  </si>
  <si>
    <t>151.101.1.195;151.101.65.195</t>
  </si>
  <si>
    <t>locationhistoryaggregates-pa.googleapis.com.</t>
  </si>
  <si>
    <t>142.250.191.106;142.250.191.138;142.250.191.202;142.250.190.138;172.217.2.42;142.251.34.234;142.250.190.74;172.217.5.10;172.217.1.106;142.251.32.10;142.250.190.42;142.250.191.234;142.250.190.106;142.250.191.170;172.217.4.42;142.250.190.10</t>
  </si>
  <si>
    <t>142.251.32.10;142.250.191.170;142.250.190.10;142.250.190.74;172.217.4.202;172.217.2.42;142.250.190.138;172.217.1.106;142.250.191.202;142.251.34.234;142.250.191.138;142.250.190.106;172.217.5.10;142.250.191.106;172.217.4.42;142.250.191.234</t>
  </si>
  <si>
    <t>globalsign.com.</t>
  </si>
  <si>
    <t>146.75.30.133</t>
  </si>
  <si>
    <t>104.18.21.226;104.18.20.226</t>
  </si>
  <si>
    <t>speechs3proto2-pa.googleapis.com.</t>
  </si>
  <si>
    <t>142.250.190.42;142.251.34.234;142.250.190.10;142.250.191.202;172.217.4.202;142.250.191.170;142.250.191.234;142.250.191.106;142.250.190.74;172.217.1.106;142.250.190.106;142.250.190.138;142.250.191.138;172.217.5.10;142.251.32.10;172.217.4.74</t>
  </si>
  <si>
    <t>142.250.190.138;142.250.191.202;142.251.32.10;142.250.190.106;142.250.191.234;142.250.191.138;172.217.5.10;172.217.4.42;172.217.4.202;142.250.191.106;172.217.1.106;142.250.190.42;172.217.2.42;142.250.190.10;142.250.190.74;142.250.191.170</t>
  </si>
  <si>
    <t>ndcpp-os.com.</t>
  </si>
  <si>
    <t>liadm.com.</t>
  </si>
  <si>
    <t>msn.cn.</t>
  </si>
  <si>
    <t>204.79.197.235</t>
  </si>
  <si>
    <t>omnitagjs.com.</t>
  </si>
  <si>
    <t>avcdn.net.</t>
  </si>
  <si>
    <t>presage.io.</t>
  </si>
  <si>
    <t>217.70.184.55</t>
  </si>
  <si>
    <t>ogads-pa.googleapis.com.</t>
  </si>
  <si>
    <t>142.250.190.106;142.250.191.202;142.250.190.74;172.217.1.106;142.250.190.10;142.250.191.234;172.217.2.42;142.250.191.170;142.250.191.106;142.250.191.138;172.217.4.202;142.250.190.138;142.250.190.42;172.217.5.10;172.217.4.42;142.251.32.10</t>
  </si>
  <si>
    <t>142.250.190.42;172.217.2.42;142.250.190.10;172.217.1.106;172.217.4.42;142.250.191.106;142.250.190.138;142.250.191.234;142.250.191.138;142.250.191.170;142.250.190.74;142.251.34.234;172.217.5.10;142.250.190.106;142.251.32.10;172.217.4.202</t>
  </si>
  <si>
    <t>eu-1-id5-sync.com.</t>
  </si>
  <si>
    <t>172.67.75.89;104.26.8.8;104.26.9.8</t>
  </si>
  <si>
    <t>104.26.9.8;104.26.8.8;172.67.75.89</t>
  </si>
  <si>
    <t>securetoken.googleapis.com.</t>
  </si>
  <si>
    <t>142.251.34.234;142.250.190.74;172.217.4.42;142.250.191.202;172.217.4.74;142.250.190.42;172.217.1.106;142.250.190.138;142.250.190.106;142.251.32.10;142.250.191.138;142.250.191.170;172.217.5.10;142.250.190.10;172.217.2.42;142.250.191.106</t>
  </si>
  <si>
    <t>142.250.191.170;172.217.5.10;142.251.34.234;142.250.190.74;172.217.1.106;172.217.4.202;172.217.2.42;172.217.4.42;142.250.191.234;142.250.191.138;142.250.190.42;142.250.191.106;142.251.32.10;142.250.190.138;142.250.190.106;142.250.190.10</t>
  </si>
  <si>
    <t>drivefrontend-pa.googleapis.com.</t>
  </si>
  <si>
    <t>142.251.32.10;142.250.191.106;142.250.191.202;142.250.190.42;142.250.190.138;142.250.190.74;142.250.191.234;172.217.4.42;142.250.190.106;142.250.191.138;172.217.4.202;172.217.1.106;142.250.190.10;172.217.2.42;142.250.191.170</t>
  </si>
  <si>
    <t>142.250.190.10;142.250.191.106;142.250.190.106;142.250.191.138;172.217.4.202;142.250.190.74;142.250.191.170;172.217.2.42;142.250.191.234;172.217.1.106;142.250.191.202;172.217.5.10;142.250.190.42;142.250.190.138;142.251.32.10;142.251.34.234</t>
  </si>
  <si>
    <t>typekit.net.</t>
  </si>
  <si>
    <t>216.146.46.10;216.146.46.11</t>
  </si>
  <si>
    <t>216.146.46.11;216.146.46.10</t>
  </si>
  <si>
    <t>gsu.edu.</t>
  </si>
  <si>
    <t>104.239.136.235</t>
  </si>
  <si>
    <t>example.com.</t>
  </si>
  <si>
    <t>23.192.228.80;23.192.228.84;23.220.75.245;23.215.0.138;23.220.75.232;23.215.0.136</t>
  </si>
  <si>
    <t>23.215.0.138;23.192.228.80;23.215.0.136;23.220.75.232;23.192.228.84;23.220.75.245</t>
  </si>
  <si>
    <t>mediago.io.</t>
  </si>
  <si>
    <t>44.226.163.226;35.85.93.41;44.238.106.102;34.217.235.21</t>
  </si>
  <si>
    <t>44.226.163.226;34.217.235.21;44.238.106.102;35.85.93.41</t>
  </si>
  <si>
    <t>sitescout.com.</t>
  </si>
  <si>
    <t>208.113.159.153</t>
  </si>
  <si>
    <t>liftoff-creatives.io.</t>
  </si>
  <si>
    <t>gvt3.com.</t>
  </si>
  <si>
    <t>recaptcha.net.</t>
  </si>
  <si>
    <t>142.250.191.195</t>
  </si>
  <si>
    <t>142.250.191.227</t>
  </si>
  <si>
    <t>scdn.co.</t>
  </si>
  <si>
    <t>tiktokw.us.</t>
  </si>
  <si>
    <t>oaistatic.com.</t>
  </si>
  <si>
    <t>172.64.146.98;104.18.41.158</t>
  </si>
  <si>
    <t>104.18.41.158;172.64.146.98</t>
  </si>
  <si>
    <t>pure.cloud.</t>
  </si>
  <si>
    <t>spotifycdn.com.</t>
  </si>
  <si>
    <t>clienttracing-pa.googleapis.com.</t>
  </si>
  <si>
    <t>172.217.4.74;142.251.34.234;172.217.1.106;172.217.4.202;172.217.4.42;142.250.190.74;142.250.190.10;142.250.191.202;142.251.32.10;142.250.190.106;142.250.191.234;172.217.2.42;142.250.190.138;142.250.191.170;142.250.191.106;142.250.190.42</t>
  </si>
  <si>
    <t>142.250.190.74;142.250.191.138;142.251.32.10;172.217.2.42;142.251.34.234;172.217.4.42;142.250.191.106;172.217.4.74;172.217.1.106;142.250.191.234;142.250.190.106;142.250.190.10;142.250.191.170;142.250.190.138;142.250.190.42;142.250.191.202</t>
  </si>
  <si>
    <t>readaloud.googleapis.com.</t>
  </si>
  <si>
    <t>142.250.191.234;172.217.2.42;142.250.191.170;142.250.190.42;142.250.191.106;142.250.190.106;172.217.1.106;172.217.4.42;142.250.190.74;172.217.4.202;142.250.191.138;142.251.34.234;142.250.190.138;142.250.190.10;172.217.4.74;142.250.191.202</t>
  </si>
  <si>
    <t>142.250.191.170;142.250.191.202;172.217.2.42;142.250.191.138;142.250.190.10;172.217.4.202;142.250.191.106;142.250.190.106;142.250.190.42;142.250.190.74;142.250.190.138;142.250.191.234;172.217.1.106;172.217.4.74;172.217.5.10;172.217.4.42</t>
  </si>
  <si>
    <t>bing.net.</t>
  </si>
  <si>
    <t>yimg.com.</t>
  </si>
  <si>
    <t>76.223.84.192;13.248.158.7</t>
  </si>
  <si>
    <t>13.248.158.7;76.223.84.192</t>
  </si>
  <si>
    <t>tiktokrow-cdn.com.</t>
  </si>
  <si>
    <t>intercom.io.</t>
  </si>
  <si>
    <t>18.160.102.105;18.160.102.120;18.160.102.103;18.160.102.123</t>
  </si>
  <si>
    <t>18.160.102.105;18.160.102.123;18.160.102.120;18.160.102.103</t>
  </si>
  <si>
    <t>firebaseinappmessaging.googleapis.com.</t>
  </si>
  <si>
    <t>142.250.190.138;142.250.191.170;142.250.191.234;142.250.190.74;142.250.191.138;142.251.32.10;142.251.34.234;142.250.190.42;142.250.190.10;142.250.191.106;142.250.190.106;172.217.2.42;142.250.191.202;172.217.1.106</t>
  </si>
  <si>
    <t>172.217.5.10;142.250.190.138;142.250.190.42;172.217.2.42;142.250.190.106;142.250.190.74;172.217.4.42;172.217.4.74;142.250.191.106;142.250.191.170;172.217.1.106;142.250.190.10;142.250.191.234;142.251.34.234;142.250.191.202;142.251.32.10</t>
  </si>
  <si>
    <t>footprintdns.com.</t>
  </si>
  <si>
    <t>sentinelone.net.</t>
  </si>
  <si>
    <t>firestore.googleapis.com.</t>
  </si>
  <si>
    <t>142.250.190.10</t>
  </si>
  <si>
    <t>sectigo.com.</t>
  </si>
  <si>
    <t>91.199.212.90</t>
  </si>
  <si>
    <t>roblox.com.</t>
  </si>
  <si>
    <t>128.116.48.3</t>
  </si>
  <si>
    <t>simpli.fi.</t>
  </si>
  <si>
    <t>141.193.213.30</t>
  </si>
  <si>
    <t>liftoff.io.</t>
  </si>
  <si>
    <t>141.193.213.21;141.193.213.20</t>
  </si>
  <si>
    <t>ln-msedge.net.</t>
  </si>
  <si>
    <t>me.com.</t>
  </si>
  <si>
    <t>unpkg.com.</t>
  </si>
  <si>
    <t>104.18.0.22;104.18.1.22</t>
  </si>
  <si>
    <t>shalltry.com.</t>
  </si>
  <si>
    <t>99.84.203.85;99.84.203.125;99.84.203.35;99.84.203.44</t>
  </si>
  <si>
    <t>99.84.203.44;99.84.203.85;99.84.203.125;99.84.203.35</t>
  </si>
  <si>
    <t>yahoodns.net.</t>
  </si>
  <si>
    <t>deepintent.com.</t>
  </si>
  <si>
    <t>fb.com.</t>
  </si>
  <si>
    <t>mozilla.org.</t>
  </si>
  <si>
    <t>35.190.14.201</t>
  </si>
  <si>
    <t>cdngslb.com.</t>
  </si>
  <si>
    <t>115.238.23.241</t>
  </si>
  <si>
    <t>avast.com.</t>
  </si>
  <si>
    <t>23.209.61.95</t>
  </si>
  <si>
    <t>rocket-cdn.com.</t>
  </si>
  <si>
    <t>richaudience.com.</t>
  </si>
  <si>
    <t>62.36.229.31</t>
  </si>
  <si>
    <t>byteoversea.com.</t>
  </si>
  <si>
    <t>ureca-lab.com.</t>
  </si>
  <si>
    <t>clevertap-prod.com.</t>
  </si>
  <si>
    <t>3.166.118.23;3.166.118.97;3.166.118.42;3.166.118.113</t>
  </si>
  <si>
    <t>3.166.118.42;3.166.118.113;3.166.118.97;3.166.118.23</t>
  </si>
  <si>
    <t>ondevicesafety-pa.googleapis.com.</t>
  </si>
  <si>
    <t>142.251.34.234;142.250.190.10;172.217.4.74;172.217.1.106;172.217.2.42;172.217.4.42;142.250.191.106;142.250.190.138;142.250.190.74;142.251.32.10;142.250.191.234;172.217.4.202;142.250.191.138;142.250.191.202;142.250.190.42;142.250.191.170</t>
  </si>
  <si>
    <t>172.217.1.106;172.217.2.42;142.250.190.42;142.250.191.170;142.250.191.234;142.251.32.10;142.250.190.10;172.217.4.202;142.250.190.74;142.250.191.138;142.250.190.138;142.251.34.234;142.250.191.202;172.217.5.10;142.250.190.106;142.250.191.106</t>
  </si>
  <si>
    <t>adkernel.com.</t>
  </si>
  <si>
    <t>cisco.com.</t>
  </si>
  <si>
    <t>72.163.4.185</t>
  </si>
  <si>
    <t>tencent-cloud.net.</t>
  </si>
  <si>
    <t>wikipedia.org.</t>
  </si>
  <si>
    <t>208.80.154.224</t>
  </si>
  <si>
    <t>myqcloud.com.</t>
  </si>
  <si>
    <t>bytedance.map.fastly.net.</t>
  </si>
  <si>
    <t>151.101.150.73</t>
  </si>
  <si>
    <t>146.75.82.73</t>
  </si>
  <si>
    <t>asjo.org.</t>
  </si>
  <si>
    <t>212.237.178.116</t>
  </si>
  <si>
    <t>ttlivecdn.com.</t>
  </si>
  <si>
    <t>google.us.</t>
  </si>
  <si>
    <t>142.251.32.4</t>
  </si>
  <si>
    <t>142.250.191.100</t>
  </si>
  <si>
    <t>google.com.hk.</t>
  </si>
  <si>
    <t>142.250.190.35</t>
  </si>
  <si>
    <t>content-storage-upload.googleapis.com.</t>
  </si>
  <si>
    <t>192.178.153.207;142.251.4.207;192.178.154.207;142.250.123.207;142.250.112.207;172.217.68.207;74.125.129.207;192.178.131.207;192.178.157.207;142.251.182.207;142.250.111.207;192.178.214.207;142.251.165.207;142.251.176.207;142.251.166.207;192.178.130.207</t>
  </si>
  <si>
    <t>192.178.131.207;192.178.130.207;192.178.154.207;142.250.111.207;142.251.176.207;142.251.166.207;74.125.129.207;142.251.4.207;192.178.214.207;192.178.157.207;142.250.112.207;192.178.153.207;172.217.68.207;142.251.182.207;142.251.165.207;142.250.123.207</t>
  </si>
  <si>
    <t>visualstudio.com.</t>
  </si>
  <si>
    <t>150.171.74.16;150.171.73.16</t>
  </si>
  <si>
    <t>150.171.73.16;150.171.74.16</t>
  </si>
  <si>
    <t>instantmessaging-pa-jms-us.googleapis.com.</t>
  </si>
  <si>
    <t>216.239.36.158</t>
  </si>
  <si>
    <t>seedtag.com.</t>
  </si>
  <si>
    <t>34.140.37.23</t>
  </si>
  <si>
    <t>decibelinsight.net.</t>
  </si>
  <si>
    <t>spotxchange.com.</t>
  </si>
  <si>
    <t>198.54.12.133;198.54.12.134</t>
  </si>
  <si>
    <t>lazcdn.com.</t>
  </si>
  <si>
    <t>yellowblue.io.</t>
  </si>
  <si>
    <t>gos-gsp.io.</t>
  </si>
  <si>
    <t>androidpay-users-pa.googleapis.com.</t>
  </si>
  <si>
    <t>74.125.129.92</t>
  </si>
  <si>
    <t>microsoft365.com.</t>
  </si>
  <si>
    <t>ovscdns.com.</t>
  </si>
  <si>
    <t>gumgum.com.</t>
  </si>
  <si>
    <t>3.166.118.50;3.166.118.14;3.166.118.4;3.166.118.107</t>
  </si>
  <si>
    <t>3.166.118.14;3.166.118.50;3.166.118.4;3.166.118.107</t>
  </si>
  <si>
    <t>rfihub.com.</t>
  </si>
  <si>
    <t>cloudfront.net.</t>
  </si>
  <si>
    <t>mfadsrvr.com.</t>
  </si>
  <si>
    <t>35.170.8.51</t>
  </si>
  <si>
    <t>alibaba.com.</t>
  </si>
  <si>
    <t>47.246.136.156;47.246.131.198;47.246.136.52;47.246.137.105</t>
  </si>
  <si>
    <t>47.246.137.105;47.246.131.198;47.246.136.156;47.246.136.52</t>
  </si>
  <si>
    <t>ipredictive.com.</t>
  </si>
  <si>
    <t>ibytedtos.com.</t>
  </si>
  <si>
    <t>optimizely.com.</t>
  </si>
  <si>
    <t>217.114.94.2</t>
  </si>
  <si>
    <t>aadrm.com.</t>
  </si>
  <si>
    <t>connatix.com.</t>
  </si>
  <si>
    <t>52.84.127.13;52.84.127.106;52.84.127.80;52.84.127.40</t>
  </si>
  <si>
    <t>52.84.127.106;52.84.127.13;52.84.127.80;52.84.127.40</t>
  </si>
  <si>
    <t>feedback-pa.googleapis.com.</t>
  </si>
  <si>
    <t>142.250.190.138;172.217.4.202;142.250.190.106;142.251.32.10;142.250.190.74;172.217.4.42;172.217.2.42;142.250.191.138;142.250.191.234;142.250.191.202;142.250.190.10;142.250.190.42;172.217.5.10;142.250.191.106;172.217.1.106;142.250.191.170</t>
  </si>
  <si>
    <t>142.251.32.10;142.250.190.74;142.250.191.234;142.250.190.42;142.250.191.170;142.250.190.106;142.250.191.106;142.250.190.138;142.250.191.138;172.217.4.42;172.217.4.202;142.250.190.10;142.250.191.202;172.217.5.10;172.217.1.106;172.217.2.42</t>
  </si>
  <si>
    <t>4dex.io.</t>
  </si>
  <si>
    <t>fontawesome.com.</t>
  </si>
  <si>
    <t>104.18.22.52</t>
  </si>
  <si>
    <t>shopee.co.th.</t>
  </si>
  <si>
    <t>147.136.180.129</t>
  </si>
  <si>
    <t>147.136.180.128</t>
  </si>
  <si>
    <t>amazontrust.com.</t>
  </si>
  <si>
    <t>18.160.181.72;18.160.181.46;18.160.181.11;18.160.181.18</t>
  </si>
  <si>
    <t>18.160.181.46;18.160.181.72;18.160.181.11;18.160.181.18</t>
  </si>
  <si>
    <t>photos.googleapis.com.</t>
  </si>
  <si>
    <t>142.250.190.10;142.250.191.202;172.217.5.10;172.217.1.106;172.217.4.202;172.217.4.74;142.250.190.74;142.250.191.138;142.251.32.10;142.250.190.42;142.250.191.106;142.250.190.138;142.250.191.170;142.250.191.234;172.217.4.42;142.250.190.106</t>
  </si>
  <si>
    <t>142.250.191.106;172.217.4.202;142.250.190.42;142.250.190.106;172.217.1.106;142.251.32.10;172.217.2.42;142.250.190.74;142.250.191.170;142.250.190.138;142.250.191.202;142.251.34.234;172.217.4.74;142.250.191.138;142.250.190.10;172.217.4.42</t>
  </si>
  <si>
    <t>hpdaas.com.</t>
  </si>
  <si>
    <t>52.92.190.83;52.92.240.131;3.5.84.66;52.218.247.66;52.92.138.115;52.218.250.178;3.5.83.123;3.5.82.31</t>
  </si>
  <si>
    <t>52.92.203.115;3.5.78.104;3.5.86.48;52.92.179.123;52.92.242.139;52.92.224.27;52.218.234.194;52.218.176.2</t>
  </si>
  <si>
    <t>google.com.br.</t>
  </si>
  <si>
    <t>142.251.34.227</t>
  </si>
  <si>
    <t>mcafee.com.</t>
  </si>
  <si>
    <t>100.20.214.93</t>
  </si>
  <si>
    <t>mookie1.com.</t>
  </si>
  <si>
    <t>23.59.169.28;23.59.169.24</t>
  </si>
  <si>
    <t>postrelease.com.</t>
  </si>
  <si>
    <t>52.36.224.135</t>
  </si>
  <si>
    <t>tremorhub.com.</t>
  </si>
  <si>
    <t>18.160.181.96;18.160.181.60;18.160.181.15;18.160.181.35</t>
  </si>
  <si>
    <t>18.160.181.15;18.160.181.60;18.160.181.96;18.160.181.35</t>
  </si>
  <si>
    <t>grammarly.com.</t>
  </si>
  <si>
    <t>99.84.203.125;99.84.203.84;99.84.203.33;99.84.203.59</t>
  </si>
  <si>
    <t>99.84.203.125;99.84.203.59;99.84.203.84;99.84.203.33</t>
  </si>
  <si>
    <t>mathtag.com.</t>
  </si>
  <si>
    <t>adgrx.com.</t>
  </si>
  <si>
    <t>microsoftpersonalcontent.com.</t>
  </si>
  <si>
    <t>amazon.dev.</t>
  </si>
  <si>
    <t>tiqcdn.com.</t>
  </si>
  <si>
    <t>singular.net.</t>
  </si>
  <si>
    <t>141.193.213.11;141.193.213.10</t>
  </si>
  <si>
    <t>dynatrace.com.</t>
  </si>
  <si>
    <t>52.86.208.141;35.168.93.157</t>
  </si>
  <si>
    <t>ads-twitter.com.</t>
  </si>
  <si>
    <t>mozilla.com.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</si>
</sst>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  <c r="O1" s="1" t="s">
        <v>10</v>
      </c>
      <c r="P1" s="1" t="s">
        <v>11</v>
      </c>
      <c r="R1" s="1" t="s">
        <v>12</v>
      </c>
      <c r="S1" s="2">
        <f>SUM(R:R)</f>
        <v>218</v>
      </c>
    </row>
    <row r="2" hidden="1">
      <c r="A2" s="1" t="s">
        <v>0</v>
      </c>
      <c r="D2" s="1">
        <v>-1.0</v>
      </c>
      <c r="E2" s="1">
        <v>-1.0</v>
      </c>
      <c r="F2" s="2">
        <f t="shared" ref="F2:F502" si="1">IF(B2 = C2,1,0)</f>
        <v>1</v>
      </c>
    </row>
    <row r="3">
      <c r="A3" s="1" t="s">
        <v>13</v>
      </c>
      <c r="B3" s="1" t="s">
        <v>14</v>
      </c>
      <c r="C3" s="1" t="s">
        <v>14</v>
      </c>
      <c r="D3" s="1">
        <v>84.0</v>
      </c>
      <c r="E3" s="1">
        <v>300.0</v>
      </c>
      <c r="F3" s="2">
        <f t="shared" si="1"/>
        <v>1</v>
      </c>
      <c r="G3" s="1">
        <v>84.0</v>
      </c>
      <c r="H3" s="1">
        <v>300.0</v>
      </c>
      <c r="I3" s="1" t="s">
        <v>15</v>
      </c>
      <c r="J3" s="2">
        <f>AVERAGE(G:G)</f>
        <v>1020.561983</v>
      </c>
      <c r="K3" s="2">
        <f>STDEV(G:G)</f>
        <v>4304.222863</v>
      </c>
      <c r="L3" s="2">
        <f>COUNTIF(B:B,"*;*")</f>
        <v>208</v>
      </c>
      <c r="M3" s="2">
        <f>SUM(L3, 364)</f>
        <v>572</v>
      </c>
      <c r="N3" s="2">
        <f>AVERAGE(O:O)</f>
        <v>4.754820937</v>
      </c>
      <c r="O3" s="2">
        <f>LEN(C3) - LEN(SUBSTITUTE(C3, ";", "")) + 1</f>
        <v>1</v>
      </c>
      <c r="P3" s="2">
        <f>LEN(B3) - LEN(SUBSTITUTE(B3, ";", "")) + 1</f>
        <v>1</v>
      </c>
      <c r="Q3" s="2">
        <f>AVERAGE(P:P)</f>
        <v>4.749311295</v>
      </c>
      <c r="R3" s="2">
        <f>IF(B3 = C3, 0, 1)</f>
        <v>0</v>
      </c>
    </row>
    <row r="4" hidden="1">
      <c r="A4" s="1" t="s">
        <v>16</v>
      </c>
      <c r="D4" s="1">
        <v>-1.0</v>
      </c>
      <c r="E4" s="1">
        <v>-1.0</v>
      </c>
      <c r="F4" s="2">
        <f t="shared" si="1"/>
        <v>1</v>
      </c>
    </row>
    <row r="5">
      <c r="A5" s="1" t="s">
        <v>17</v>
      </c>
      <c r="B5" s="1" t="s">
        <v>18</v>
      </c>
      <c r="C5" s="1" t="s">
        <v>19</v>
      </c>
      <c r="D5" s="1">
        <v>205.0</v>
      </c>
      <c r="E5" s="1">
        <v>300.0</v>
      </c>
      <c r="F5" s="2">
        <f t="shared" si="1"/>
        <v>0</v>
      </c>
      <c r="G5" s="1">
        <v>205.0</v>
      </c>
      <c r="H5" s="1">
        <v>300.0</v>
      </c>
      <c r="I5" s="1" t="s">
        <v>20</v>
      </c>
      <c r="J5" s="2">
        <f>AVERAGE(H:H)</f>
        <v>795.4793388</v>
      </c>
      <c r="K5" s="2">
        <f>STDEV(H:H)</f>
        <v>2370.711991</v>
      </c>
      <c r="L5" s="2">
        <f>COUNTIF(C:C,"*;*")</f>
        <v>212</v>
      </c>
      <c r="M5" s="2">
        <f>SUM(L5, 364)</f>
        <v>576</v>
      </c>
      <c r="N5" s="2">
        <f>STDEV(O:O)</f>
        <v>5.56259684</v>
      </c>
      <c r="O5" s="2">
        <f t="shared" ref="O5:O14" si="2">LEN(C5) - LEN(SUBSTITUTE(C5, ";", "")) + 1</f>
        <v>1</v>
      </c>
      <c r="P5" s="2">
        <f t="shared" ref="P5:P14" si="3">LEN(B5) - LEN(SUBSTITUTE(B5, ";", "")) + 1</f>
        <v>1</v>
      </c>
      <c r="Q5" s="2">
        <f>STDEV(P:P)</f>
        <v>5.599967277</v>
      </c>
      <c r="R5" s="2">
        <f t="shared" ref="R5:R14" si="4">IF(B5 = C5, 0, 1)</f>
        <v>1</v>
      </c>
    </row>
    <row r="6">
      <c r="A6" s="1" t="s">
        <v>21</v>
      </c>
      <c r="B6" s="1" t="s">
        <v>22</v>
      </c>
      <c r="C6" s="1" t="s">
        <v>22</v>
      </c>
      <c r="D6" s="1">
        <v>17.0</v>
      </c>
      <c r="E6" s="1">
        <v>60.0</v>
      </c>
      <c r="F6" s="2">
        <f t="shared" si="1"/>
        <v>1</v>
      </c>
      <c r="G6" s="1">
        <v>17.0</v>
      </c>
      <c r="H6" s="1">
        <v>60.0</v>
      </c>
      <c r="N6" s="1" t="s">
        <v>15</v>
      </c>
      <c r="O6" s="2">
        <f t="shared" si="2"/>
        <v>1</v>
      </c>
      <c r="P6" s="2">
        <f t="shared" si="3"/>
        <v>1</v>
      </c>
      <c r="R6" s="2">
        <f t="shared" si="4"/>
        <v>0</v>
      </c>
    </row>
    <row r="7">
      <c r="A7" s="1" t="s">
        <v>23</v>
      </c>
      <c r="B7" s="1" t="s">
        <v>24</v>
      </c>
      <c r="C7" s="1" t="s">
        <v>25</v>
      </c>
      <c r="D7" s="1">
        <v>3600.0</v>
      </c>
      <c r="E7" s="1">
        <v>211.0</v>
      </c>
      <c r="F7" s="2">
        <f t="shared" si="1"/>
        <v>0</v>
      </c>
      <c r="G7" s="1">
        <v>3600.0</v>
      </c>
      <c r="H7" s="1">
        <v>211.0</v>
      </c>
      <c r="O7" s="2">
        <f t="shared" si="2"/>
        <v>2</v>
      </c>
      <c r="P7" s="2">
        <f t="shared" si="3"/>
        <v>2</v>
      </c>
      <c r="R7" s="2">
        <f t="shared" si="4"/>
        <v>1</v>
      </c>
    </row>
    <row r="8">
      <c r="A8" s="1" t="s">
        <v>26</v>
      </c>
      <c r="B8" s="1" t="s">
        <v>27</v>
      </c>
      <c r="C8" s="1" t="s">
        <v>28</v>
      </c>
      <c r="D8" s="1">
        <v>20.0</v>
      </c>
      <c r="E8" s="1">
        <v>15.0</v>
      </c>
      <c r="F8" s="2">
        <f t="shared" si="1"/>
        <v>0</v>
      </c>
      <c r="G8" s="1">
        <v>20.0</v>
      </c>
      <c r="H8" s="1">
        <v>15.0</v>
      </c>
      <c r="O8" s="2">
        <f t="shared" si="2"/>
        <v>2</v>
      </c>
      <c r="P8" s="2">
        <f t="shared" si="3"/>
        <v>2</v>
      </c>
      <c r="R8" s="2">
        <f t="shared" si="4"/>
        <v>1</v>
      </c>
    </row>
    <row r="9">
      <c r="A9" s="1" t="s">
        <v>29</v>
      </c>
      <c r="B9" s="1" t="s">
        <v>30</v>
      </c>
      <c r="C9" s="1" t="s">
        <v>30</v>
      </c>
      <c r="D9" s="1">
        <v>60.0</v>
      </c>
      <c r="E9" s="1">
        <v>60.0</v>
      </c>
      <c r="F9" s="2">
        <f t="shared" si="1"/>
        <v>1</v>
      </c>
      <c r="G9" s="1">
        <v>60.0</v>
      </c>
      <c r="H9" s="1">
        <v>60.0</v>
      </c>
      <c r="O9" s="2">
        <f t="shared" si="2"/>
        <v>1</v>
      </c>
      <c r="P9" s="2">
        <f t="shared" si="3"/>
        <v>1</v>
      </c>
      <c r="R9" s="2">
        <f t="shared" si="4"/>
        <v>0</v>
      </c>
    </row>
    <row r="10">
      <c r="A10" s="1" t="s">
        <v>31</v>
      </c>
      <c r="B10" s="1" t="s">
        <v>32</v>
      </c>
      <c r="C10" s="1" t="s">
        <v>32</v>
      </c>
      <c r="D10" s="1">
        <v>128.0</v>
      </c>
      <c r="E10" s="1">
        <v>555.0</v>
      </c>
      <c r="F10" s="2">
        <f t="shared" si="1"/>
        <v>1</v>
      </c>
      <c r="G10" s="1">
        <v>128.0</v>
      </c>
      <c r="H10" s="1">
        <v>555.0</v>
      </c>
      <c r="O10" s="2">
        <f t="shared" si="2"/>
        <v>1</v>
      </c>
      <c r="P10" s="2">
        <f t="shared" si="3"/>
        <v>1</v>
      </c>
      <c r="R10" s="2">
        <f t="shared" si="4"/>
        <v>0</v>
      </c>
    </row>
    <row r="11">
      <c r="A11" s="1" t="s">
        <v>33</v>
      </c>
      <c r="B11" s="1" t="s">
        <v>22</v>
      </c>
      <c r="C11" s="1" t="s">
        <v>22</v>
      </c>
      <c r="D11" s="1">
        <v>60.0</v>
      </c>
      <c r="E11" s="1">
        <v>60.0</v>
      </c>
      <c r="F11" s="2">
        <f t="shared" si="1"/>
        <v>1</v>
      </c>
      <c r="G11" s="1">
        <v>60.0</v>
      </c>
      <c r="H11" s="1">
        <v>60.0</v>
      </c>
      <c r="O11" s="2">
        <f t="shared" si="2"/>
        <v>1</v>
      </c>
      <c r="P11" s="2">
        <f t="shared" si="3"/>
        <v>1</v>
      </c>
      <c r="R11" s="2">
        <f t="shared" si="4"/>
        <v>0</v>
      </c>
    </row>
    <row r="12">
      <c r="A12" s="1" t="s">
        <v>34</v>
      </c>
      <c r="B12" s="1" t="s">
        <v>35</v>
      </c>
      <c r="C12" s="1" t="s">
        <v>36</v>
      </c>
      <c r="D12" s="1">
        <v>178.0</v>
      </c>
      <c r="E12" s="1">
        <v>300.0</v>
      </c>
      <c r="F12" s="2">
        <f t="shared" si="1"/>
        <v>0</v>
      </c>
      <c r="G12" s="1">
        <v>178.0</v>
      </c>
      <c r="H12" s="1">
        <v>300.0</v>
      </c>
      <c r="O12" s="2">
        <f t="shared" si="2"/>
        <v>4</v>
      </c>
      <c r="P12" s="2">
        <f t="shared" si="3"/>
        <v>4</v>
      </c>
      <c r="R12" s="2">
        <f t="shared" si="4"/>
        <v>1</v>
      </c>
    </row>
    <row r="13">
      <c r="A13" s="1" t="s">
        <v>37</v>
      </c>
      <c r="B13" s="1" t="s">
        <v>38</v>
      </c>
      <c r="C13" s="1" t="s">
        <v>39</v>
      </c>
      <c r="D13" s="1">
        <v>300.0</v>
      </c>
      <c r="E13" s="1">
        <v>300.0</v>
      </c>
      <c r="F13" s="2">
        <f t="shared" si="1"/>
        <v>0</v>
      </c>
      <c r="G13" s="1">
        <v>300.0</v>
      </c>
      <c r="H13" s="1">
        <v>300.0</v>
      </c>
      <c r="O13" s="2">
        <f t="shared" si="2"/>
        <v>1</v>
      </c>
      <c r="P13" s="2">
        <f t="shared" si="3"/>
        <v>1</v>
      </c>
      <c r="R13" s="2">
        <f t="shared" si="4"/>
        <v>1</v>
      </c>
    </row>
    <row r="14">
      <c r="A14" s="1" t="s">
        <v>40</v>
      </c>
      <c r="B14" s="1" t="s">
        <v>41</v>
      </c>
      <c r="C14" s="1" t="s">
        <v>42</v>
      </c>
      <c r="D14" s="1">
        <v>3600.0</v>
      </c>
      <c r="E14" s="1">
        <v>2468.0</v>
      </c>
      <c r="F14" s="2">
        <f t="shared" si="1"/>
        <v>0</v>
      </c>
      <c r="G14" s="1">
        <v>3600.0</v>
      </c>
      <c r="H14" s="1">
        <v>2468.0</v>
      </c>
      <c r="O14" s="2">
        <f t="shared" si="2"/>
        <v>2</v>
      </c>
      <c r="P14" s="2">
        <f t="shared" si="3"/>
        <v>2</v>
      </c>
      <c r="R14" s="2">
        <f t="shared" si="4"/>
        <v>1</v>
      </c>
    </row>
    <row r="15" hidden="1">
      <c r="A15" s="1" t="s">
        <v>43</v>
      </c>
      <c r="D15" s="1">
        <v>-1.0</v>
      </c>
      <c r="E15" s="1">
        <v>-1.0</v>
      </c>
      <c r="F15" s="2">
        <f t="shared" si="1"/>
        <v>1</v>
      </c>
    </row>
    <row r="16">
      <c r="A16" s="1" t="s">
        <v>44</v>
      </c>
      <c r="B16" s="1" t="s">
        <v>45</v>
      </c>
      <c r="C16" s="1" t="s">
        <v>45</v>
      </c>
      <c r="D16" s="1">
        <v>300.0</v>
      </c>
      <c r="E16" s="1">
        <v>300.0</v>
      </c>
      <c r="F16" s="2">
        <f t="shared" si="1"/>
        <v>1</v>
      </c>
      <c r="G16" s="1">
        <v>300.0</v>
      </c>
      <c r="H16" s="1">
        <v>300.0</v>
      </c>
      <c r="O16" s="2">
        <f t="shared" ref="O16:O17" si="5">LEN(C16) - LEN(SUBSTITUTE(C16, ";", "")) + 1</f>
        <v>1</v>
      </c>
      <c r="P16" s="2">
        <f t="shared" ref="P16:P17" si="6">LEN(B16) - LEN(SUBSTITUTE(B16, ";", "")) + 1</f>
        <v>1</v>
      </c>
      <c r="R16" s="2">
        <f t="shared" ref="R16:R17" si="7">IF(B16 = C16, 0, 1)</f>
        <v>0</v>
      </c>
    </row>
    <row r="17">
      <c r="A17" s="1" t="s">
        <v>46</v>
      </c>
      <c r="B17" s="1" t="s">
        <v>47</v>
      </c>
      <c r="C17" s="1" t="s">
        <v>48</v>
      </c>
      <c r="D17" s="1">
        <v>300.0</v>
      </c>
      <c r="E17" s="1">
        <v>277.0</v>
      </c>
      <c r="F17" s="2">
        <f t="shared" si="1"/>
        <v>0</v>
      </c>
      <c r="G17" s="1">
        <v>300.0</v>
      </c>
      <c r="H17" s="1">
        <v>277.0</v>
      </c>
      <c r="O17" s="2">
        <f t="shared" si="5"/>
        <v>2</v>
      </c>
      <c r="P17" s="2">
        <f t="shared" si="6"/>
        <v>2</v>
      </c>
      <c r="R17" s="2">
        <f t="shared" si="7"/>
        <v>1</v>
      </c>
    </row>
    <row r="18" hidden="1">
      <c r="A18" s="1" t="s">
        <v>49</v>
      </c>
      <c r="D18" s="1">
        <v>-1.0</v>
      </c>
      <c r="E18" s="1">
        <v>-1.0</v>
      </c>
      <c r="F18" s="2">
        <f t="shared" si="1"/>
        <v>1</v>
      </c>
    </row>
    <row r="19">
      <c r="A19" s="1" t="s">
        <v>50</v>
      </c>
      <c r="B19" s="1" t="s">
        <v>51</v>
      </c>
      <c r="C19" s="1" t="s">
        <v>51</v>
      </c>
      <c r="D19" s="1">
        <v>289.0</v>
      </c>
      <c r="E19" s="1">
        <v>76.0</v>
      </c>
      <c r="F19" s="2">
        <f t="shared" si="1"/>
        <v>1</v>
      </c>
      <c r="G19" s="1">
        <v>289.0</v>
      </c>
      <c r="H19" s="1">
        <v>76.0</v>
      </c>
      <c r="O19" s="2">
        <f>LEN(C19) - LEN(SUBSTITUTE(C19, ";", "")) + 1</f>
        <v>1</v>
      </c>
      <c r="P19" s="2">
        <f>LEN(B19) - LEN(SUBSTITUTE(B19, ";", "")) + 1</f>
        <v>1</v>
      </c>
      <c r="R19" s="2">
        <f>IF(B19 = C19, 0, 1)</f>
        <v>0</v>
      </c>
    </row>
    <row r="20" hidden="1">
      <c r="A20" s="1" t="s">
        <v>52</v>
      </c>
      <c r="D20" s="1">
        <v>-1.0</v>
      </c>
      <c r="E20" s="1">
        <v>-1.0</v>
      </c>
      <c r="F20" s="2">
        <f t="shared" si="1"/>
        <v>1</v>
      </c>
    </row>
    <row r="21">
      <c r="A21" s="1" t="s">
        <v>53</v>
      </c>
      <c r="B21" s="1" t="s">
        <v>54</v>
      </c>
      <c r="C21" s="1" t="s">
        <v>55</v>
      </c>
      <c r="D21" s="1">
        <v>203.0</v>
      </c>
      <c r="E21" s="1">
        <v>300.0</v>
      </c>
      <c r="F21" s="2">
        <f t="shared" si="1"/>
        <v>0</v>
      </c>
      <c r="G21" s="1">
        <v>203.0</v>
      </c>
      <c r="H21" s="1">
        <v>300.0</v>
      </c>
      <c r="O21" s="2">
        <f t="shared" ref="O21:O26" si="8">LEN(C21) - LEN(SUBSTITUTE(C21, ";", "")) + 1</f>
        <v>1</v>
      </c>
      <c r="P21" s="2">
        <f t="shared" ref="P21:P26" si="9">LEN(B21) - LEN(SUBSTITUTE(B21, ";", "")) + 1</f>
        <v>1</v>
      </c>
      <c r="R21" s="2">
        <f t="shared" ref="R21:R26" si="10">IF(B21 = C21, 0, 1)</f>
        <v>1</v>
      </c>
    </row>
    <row r="22">
      <c r="A22" s="1" t="s">
        <v>56</v>
      </c>
      <c r="B22" s="1" t="s">
        <v>57</v>
      </c>
      <c r="C22" s="1" t="s">
        <v>57</v>
      </c>
      <c r="D22" s="1">
        <v>3600.0</v>
      </c>
      <c r="E22" s="1">
        <v>806.0</v>
      </c>
      <c r="F22" s="2">
        <f t="shared" si="1"/>
        <v>1</v>
      </c>
      <c r="G22" s="1">
        <v>3600.0</v>
      </c>
      <c r="H22" s="1">
        <v>806.0</v>
      </c>
      <c r="O22" s="2">
        <f t="shared" si="8"/>
        <v>1</v>
      </c>
      <c r="P22" s="2">
        <f t="shared" si="9"/>
        <v>1</v>
      </c>
      <c r="R22" s="2">
        <f t="shared" si="10"/>
        <v>0</v>
      </c>
    </row>
    <row r="23">
      <c r="A23" s="1" t="s">
        <v>58</v>
      </c>
      <c r="B23" s="1" t="s">
        <v>59</v>
      </c>
      <c r="C23" s="1" t="s">
        <v>60</v>
      </c>
      <c r="D23" s="1">
        <v>94.0</v>
      </c>
      <c r="E23" s="1">
        <v>300.0</v>
      </c>
      <c r="F23" s="2">
        <f t="shared" si="1"/>
        <v>0</v>
      </c>
      <c r="G23" s="1">
        <v>94.0</v>
      </c>
      <c r="H23" s="1">
        <v>300.0</v>
      </c>
      <c r="O23" s="2">
        <f t="shared" si="8"/>
        <v>1</v>
      </c>
      <c r="P23" s="2">
        <f t="shared" si="9"/>
        <v>1</v>
      </c>
      <c r="R23" s="2">
        <f t="shared" si="10"/>
        <v>1</v>
      </c>
    </row>
    <row r="24">
      <c r="A24" s="1" t="s">
        <v>61</v>
      </c>
      <c r="B24" s="1" t="s">
        <v>62</v>
      </c>
      <c r="C24" s="1" t="s">
        <v>63</v>
      </c>
      <c r="D24" s="1">
        <v>121.0</v>
      </c>
      <c r="E24" s="1">
        <v>300.0</v>
      </c>
      <c r="F24" s="2">
        <f t="shared" si="1"/>
        <v>0</v>
      </c>
      <c r="G24" s="1">
        <v>121.0</v>
      </c>
      <c r="H24" s="1">
        <v>300.0</v>
      </c>
      <c r="O24" s="2">
        <f t="shared" si="8"/>
        <v>16</v>
      </c>
      <c r="P24" s="2">
        <f t="shared" si="9"/>
        <v>16</v>
      </c>
      <c r="R24" s="2">
        <f t="shared" si="10"/>
        <v>1</v>
      </c>
    </row>
    <row r="25">
      <c r="A25" s="1" t="s">
        <v>64</v>
      </c>
      <c r="B25" s="1" t="s">
        <v>65</v>
      </c>
      <c r="C25" s="1" t="s">
        <v>66</v>
      </c>
      <c r="D25" s="1">
        <v>147.0</v>
      </c>
      <c r="E25" s="1">
        <v>300.0</v>
      </c>
      <c r="F25" s="2">
        <f t="shared" si="1"/>
        <v>0</v>
      </c>
      <c r="G25" s="1">
        <v>147.0</v>
      </c>
      <c r="H25" s="1">
        <v>300.0</v>
      </c>
      <c r="O25" s="2">
        <f t="shared" si="8"/>
        <v>1</v>
      </c>
      <c r="P25" s="2">
        <f t="shared" si="9"/>
        <v>1</v>
      </c>
      <c r="R25" s="2">
        <f t="shared" si="10"/>
        <v>1</v>
      </c>
    </row>
    <row r="26">
      <c r="A26" s="1" t="s">
        <v>67</v>
      </c>
      <c r="B26" s="1" t="s">
        <v>68</v>
      </c>
      <c r="C26" s="1" t="s">
        <v>69</v>
      </c>
      <c r="D26" s="1">
        <v>2899.0</v>
      </c>
      <c r="E26" s="1">
        <v>1029.0</v>
      </c>
      <c r="F26" s="2">
        <f t="shared" si="1"/>
        <v>0</v>
      </c>
      <c r="G26" s="1">
        <v>2899.0</v>
      </c>
      <c r="H26" s="1">
        <v>1029.0</v>
      </c>
      <c r="O26" s="2">
        <f t="shared" si="8"/>
        <v>5</v>
      </c>
      <c r="P26" s="2">
        <f t="shared" si="9"/>
        <v>5</v>
      </c>
      <c r="R26" s="2">
        <f t="shared" si="10"/>
        <v>1</v>
      </c>
    </row>
    <row r="27" hidden="1">
      <c r="A27" s="1" t="s">
        <v>70</v>
      </c>
      <c r="D27" s="1">
        <v>-1.0</v>
      </c>
      <c r="E27" s="1">
        <v>-1.0</v>
      </c>
      <c r="F27" s="2">
        <f t="shared" si="1"/>
        <v>1</v>
      </c>
    </row>
    <row r="28" hidden="1">
      <c r="A28" s="1" t="s">
        <v>71</v>
      </c>
      <c r="D28" s="1">
        <v>-1.0</v>
      </c>
      <c r="E28" s="1">
        <v>-1.0</v>
      </c>
      <c r="F28" s="2">
        <f t="shared" si="1"/>
        <v>1</v>
      </c>
    </row>
    <row r="29">
      <c r="A29" s="1" t="s">
        <v>72</v>
      </c>
      <c r="B29" s="1" t="s">
        <v>73</v>
      </c>
      <c r="C29" s="1" t="s">
        <v>74</v>
      </c>
      <c r="D29" s="1">
        <v>300.0</v>
      </c>
      <c r="E29" s="1">
        <v>300.0</v>
      </c>
      <c r="F29" s="2">
        <f t="shared" si="1"/>
        <v>0</v>
      </c>
      <c r="G29" s="1">
        <v>300.0</v>
      </c>
      <c r="H29" s="1">
        <v>300.0</v>
      </c>
      <c r="O29" s="2">
        <f t="shared" ref="O29:O30" si="11">LEN(C29) - LEN(SUBSTITUTE(C29, ";", "")) + 1</f>
        <v>1</v>
      </c>
      <c r="P29" s="2">
        <f t="shared" ref="P29:P30" si="12">LEN(B29) - LEN(SUBSTITUTE(B29, ";", "")) + 1</f>
        <v>1</v>
      </c>
      <c r="R29" s="2">
        <f t="shared" ref="R29:R30" si="13">IF(B29 = C29, 0, 1)</f>
        <v>1</v>
      </c>
    </row>
    <row r="30">
      <c r="A30" s="1" t="s">
        <v>75</v>
      </c>
      <c r="B30" s="1" t="s">
        <v>76</v>
      </c>
      <c r="C30" s="1" t="s">
        <v>77</v>
      </c>
      <c r="D30" s="1">
        <v>3600.0</v>
      </c>
      <c r="E30" s="1">
        <v>598.0</v>
      </c>
      <c r="F30" s="2">
        <f t="shared" si="1"/>
        <v>0</v>
      </c>
      <c r="G30" s="1">
        <v>3600.0</v>
      </c>
      <c r="H30" s="1">
        <v>598.0</v>
      </c>
      <c r="O30" s="2">
        <f t="shared" si="11"/>
        <v>5</v>
      </c>
      <c r="P30" s="2">
        <f t="shared" si="12"/>
        <v>5</v>
      </c>
      <c r="R30" s="2">
        <f t="shared" si="13"/>
        <v>1</v>
      </c>
    </row>
    <row r="31" hidden="1">
      <c r="A31" s="1" t="s">
        <v>78</v>
      </c>
      <c r="D31" s="1">
        <v>-1.0</v>
      </c>
      <c r="E31" s="1">
        <v>-1.0</v>
      </c>
      <c r="F31" s="2">
        <f t="shared" si="1"/>
        <v>1</v>
      </c>
    </row>
    <row r="32">
      <c r="A32" s="1" t="s">
        <v>79</v>
      </c>
      <c r="B32" s="1" t="s">
        <v>80</v>
      </c>
      <c r="C32" s="1" t="s">
        <v>80</v>
      </c>
      <c r="D32" s="1">
        <v>60.0</v>
      </c>
      <c r="E32" s="1">
        <v>60.0</v>
      </c>
      <c r="F32" s="2">
        <f t="shared" si="1"/>
        <v>1</v>
      </c>
      <c r="G32" s="1">
        <v>60.0</v>
      </c>
      <c r="H32" s="1">
        <v>60.0</v>
      </c>
      <c r="O32" s="2">
        <f t="shared" ref="O32:O35" si="14">LEN(C32) - LEN(SUBSTITUTE(C32, ";", "")) + 1</f>
        <v>1</v>
      </c>
      <c r="P32" s="2">
        <f t="shared" ref="P32:P35" si="15">LEN(B32) - LEN(SUBSTITUTE(B32, ";", "")) + 1</f>
        <v>1</v>
      </c>
      <c r="R32" s="2">
        <f t="shared" ref="R32:R35" si="16">IF(B32 = C32, 0, 1)</f>
        <v>0</v>
      </c>
    </row>
    <row r="33">
      <c r="A33" s="1" t="s">
        <v>81</v>
      </c>
      <c r="B33" s="1" t="s">
        <v>32</v>
      </c>
      <c r="C33" s="1" t="s">
        <v>32</v>
      </c>
      <c r="D33" s="1">
        <v>270.0</v>
      </c>
      <c r="E33" s="1">
        <v>485.0</v>
      </c>
      <c r="F33" s="2">
        <f t="shared" si="1"/>
        <v>1</v>
      </c>
      <c r="G33" s="1">
        <v>270.0</v>
      </c>
      <c r="H33" s="1">
        <v>485.0</v>
      </c>
      <c r="O33" s="2">
        <f t="shared" si="14"/>
        <v>1</v>
      </c>
      <c r="P33" s="2">
        <f t="shared" si="15"/>
        <v>1</v>
      </c>
      <c r="R33" s="2">
        <f t="shared" si="16"/>
        <v>0</v>
      </c>
    </row>
    <row r="34">
      <c r="A34" s="1" t="s">
        <v>82</v>
      </c>
      <c r="B34" s="1" t="s">
        <v>83</v>
      </c>
      <c r="C34" s="1" t="s">
        <v>84</v>
      </c>
      <c r="D34" s="1">
        <v>300.0</v>
      </c>
      <c r="E34" s="1">
        <v>31.0</v>
      </c>
      <c r="F34" s="2">
        <f t="shared" si="1"/>
        <v>0</v>
      </c>
      <c r="G34" s="1">
        <v>300.0</v>
      </c>
      <c r="H34" s="1">
        <v>31.0</v>
      </c>
      <c r="O34" s="2">
        <f t="shared" si="14"/>
        <v>5</v>
      </c>
      <c r="P34" s="2">
        <f t="shared" si="15"/>
        <v>5</v>
      </c>
      <c r="R34" s="2">
        <f t="shared" si="16"/>
        <v>1</v>
      </c>
    </row>
    <row r="35">
      <c r="A35" s="1" t="s">
        <v>85</v>
      </c>
      <c r="B35" s="1" t="s">
        <v>86</v>
      </c>
      <c r="C35" s="1" t="s">
        <v>86</v>
      </c>
      <c r="D35" s="1">
        <v>17.0</v>
      </c>
      <c r="E35" s="1">
        <v>14.0</v>
      </c>
      <c r="F35" s="2">
        <f t="shared" si="1"/>
        <v>1</v>
      </c>
      <c r="G35" s="1">
        <v>17.0</v>
      </c>
      <c r="H35" s="1">
        <v>14.0</v>
      </c>
      <c r="O35" s="2">
        <f t="shared" si="14"/>
        <v>2</v>
      </c>
      <c r="P35" s="2">
        <f t="shared" si="15"/>
        <v>2</v>
      </c>
      <c r="R35" s="2">
        <f t="shared" si="16"/>
        <v>0</v>
      </c>
    </row>
    <row r="36" hidden="1">
      <c r="A36" s="1" t="s">
        <v>87</v>
      </c>
      <c r="D36" s="1">
        <v>-1.0</v>
      </c>
      <c r="E36" s="1">
        <v>-1.0</v>
      </c>
      <c r="F36" s="2">
        <f t="shared" si="1"/>
        <v>1</v>
      </c>
    </row>
    <row r="37">
      <c r="A37" s="1" t="s">
        <v>88</v>
      </c>
      <c r="B37" s="1" t="s">
        <v>89</v>
      </c>
      <c r="C37" s="1" t="s">
        <v>90</v>
      </c>
      <c r="D37" s="1">
        <v>178.0</v>
      </c>
      <c r="E37" s="1">
        <v>300.0</v>
      </c>
      <c r="F37" s="2">
        <f t="shared" si="1"/>
        <v>0</v>
      </c>
      <c r="G37" s="1">
        <v>178.0</v>
      </c>
      <c r="H37" s="1">
        <v>300.0</v>
      </c>
      <c r="O37" s="2">
        <f t="shared" ref="O37:O39" si="17">LEN(C37) - LEN(SUBSTITUTE(C37, ";", "")) + 1</f>
        <v>1</v>
      </c>
      <c r="P37" s="2">
        <f t="shared" ref="P37:P39" si="18">LEN(B37) - LEN(SUBSTITUTE(B37, ";", "")) + 1</f>
        <v>1</v>
      </c>
      <c r="R37" s="2">
        <f t="shared" ref="R37:R39" si="19">IF(B37 = C37, 0, 1)</f>
        <v>1</v>
      </c>
    </row>
    <row r="38">
      <c r="A38" s="1" t="s">
        <v>91</v>
      </c>
      <c r="B38" s="1" t="s">
        <v>92</v>
      </c>
      <c r="C38" s="1" t="s">
        <v>92</v>
      </c>
      <c r="D38" s="1">
        <v>3600.0</v>
      </c>
      <c r="E38" s="1">
        <v>3087.0</v>
      </c>
      <c r="F38" s="2">
        <f t="shared" si="1"/>
        <v>1</v>
      </c>
      <c r="G38" s="1">
        <v>3600.0</v>
      </c>
      <c r="H38" s="1">
        <v>3087.0</v>
      </c>
      <c r="O38" s="2">
        <f t="shared" si="17"/>
        <v>1</v>
      </c>
      <c r="P38" s="2">
        <f t="shared" si="18"/>
        <v>1</v>
      </c>
      <c r="R38" s="2">
        <f t="shared" si="19"/>
        <v>0</v>
      </c>
    </row>
    <row r="39">
      <c r="A39" s="1" t="s">
        <v>93</v>
      </c>
      <c r="B39" s="1" t="s">
        <v>94</v>
      </c>
      <c r="C39" s="1" t="s">
        <v>95</v>
      </c>
      <c r="D39" s="1">
        <v>299.0</v>
      </c>
      <c r="E39" s="1">
        <v>300.0</v>
      </c>
      <c r="F39" s="2">
        <f t="shared" si="1"/>
        <v>0</v>
      </c>
      <c r="G39" s="1">
        <v>299.0</v>
      </c>
      <c r="H39" s="1">
        <v>300.0</v>
      </c>
      <c r="O39" s="2">
        <f t="shared" si="17"/>
        <v>16</v>
      </c>
      <c r="P39" s="2">
        <f t="shared" si="18"/>
        <v>16</v>
      </c>
      <c r="R39" s="2">
        <f t="shared" si="19"/>
        <v>1</v>
      </c>
    </row>
    <row r="40" hidden="1">
      <c r="A40" s="1" t="s">
        <v>96</v>
      </c>
      <c r="D40" s="1">
        <v>-1.0</v>
      </c>
      <c r="E40" s="1">
        <v>-1.0</v>
      </c>
      <c r="F40" s="2">
        <f t="shared" si="1"/>
        <v>1</v>
      </c>
    </row>
    <row r="41" hidden="1">
      <c r="A41" s="1" t="s">
        <v>97</v>
      </c>
      <c r="D41" s="1">
        <v>-1.0</v>
      </c>
      <c r="E41" s="1">
        <v>-1.0</v>
      </c>
      <c r="F41" s="2">
        <f t="shared" si="1"/>
        <v>1</v>
      </c>
    </row>
    <row r="42">
      <c r="A42" s="1" t="s">
        <v>98</v>
      </c>
      <c r="B42" s="1" t="s">
        <v>99</v>
      </c>
      <c r="C42" s="1" t="s">
        <v>100</v>
      </c>
      <c r="D42" s="1">
        <v>300.0</v>
      </c>
      <c r="E42" s="1">
        <v>300.0</v>
      </c>
      <c r="F42" s="2">
        <f t="shared" si="1"/>
        <v>0</v>
      </c>
      <c r="G42" s="1">
        <v>300.0</v>
      </c>
      <c r="H42" s="1">
        <v>300.0</v>
      </c>
      <c r="O42" s="2">
        <f t="shared" ref="O42:O46" si="20">LEN(C42) - LEN(SUBSTITUTE(C42, ";", "")) + 1</f>
        <v>2</v>
      </c>
      <c r="P42" s="2">
        <f t="shared" ref="P42:P46" si="21">LEN(B42) - LEN(SUBSTITUTE(B42, ";", "")) + 1</f>
        <v>2</v>
      </c>
      <c r="R42" s="2">
        <f t="shared" ref="R42:R46" si="22">IF(B42 = C42, 0, 1)</f>
        <v>1</v>
      </c>
    </row>
    <row r="43">
      <c r="A43" s="1" t="s">
        <v>101</v>
      </c>
      <c r="B43" s="1" t="s">
        <v>102</v>
      </c>
      <c r="C43" s="1" t="s">
        <v>103</v>
      </c>
      <c r="D43" s="1">
        <v>300.0</v>
      </c>
      <c r="E43" s="1">
        <v>300.0</v>
      </c>
      <c r="F43" s="2">
        <f t="shared" si="1"/>
        <v>0</v>
      </c>
      <c r="G43" s="1">
        <v>300.0</v>
      </c>
      <c r="H43" s="1">
        <v>300.0</v>
      </c>
      <c r="O43" s="2">
        <f t="shared" si="20"/>
        <v>1</v>
      </c>
      <c r="P43" s="2">
        <f t="shared" si="21"/>
        <v>1</v>
      </c>
      <c r="R43" s="2">
        <f t="shared" si="22"/>
        <v>1</v>
      </c>
    </row>
    <row r="44">
      <c r="A44" s="1" t="s">
        <v>104</v>
      </c>
      <c r="B44" s="1" t="s">
        <v>105</v>
      </c>
      <c r="C44" s="1" t="s">
        <v>106</v>
      </c>
      <c r="D44" s="1">
        <v>38.0</v>
      </c>
      <c r="E44" s="1">
        <v>300.0</v>
      </c>
      <c r="F44" s="2">
        <f t="shared" si="1"/>
        <v>0</v>
      </c>
      <c r="G44" s="1">
        <v>38.0</v>
      </c>
      <c r="H44" s="1">
        <v>300.0</v>
      </c>
      <c r="O44" s="2">
        <f t="shared" si="20"/>
        <v>4</v>
      </c>
      <c r="P44" s="2">
        <f t="shared" si="21"/>
        <v>4</v>
      </c>
      <c r="R44" s="2">
        <f t="shared" si="22"/>
        <v>1</v>
      </c>
    </row>
    <row r="45">
      <c r="A45" s="1" t="s">
        <v>107</v>
      </c>
      <c r="B45" s="1" t="s">
        <v>108</v>
      </c>
      <c r="C45" s="1" t="s">
        <v>55</v>
      </c>
      <c r="D45" s="1">
        <v>158.0</v>
      </c>
      <c r="E45" s="1">
        <v>300.0</v>
      </c>
      <c r="F45" s="2">
        <f t="shared" si="1"/>
        <v>0</v>
      </c>
      <c r="G45" s="1">
        <v>158.0</v>
      </c>
      <c r="H45" s="1">
        <v>300.0</v>
      </c>
      <c r="O45" s="2">
        <f t="shared" si="20"/>
        <v>1</v>
      </c>
      <c r="P45" s="2">
        <f t="shared" si="21"/>
        <v>1</v>
      </c>
      <c r="R45" s="2">
        <f t="shared" si="22"/>
        <v>1</v>
      </c>
    </row>
    <row r="46">
      <c r="A46" s="1" t="s">
        <v>109</v>
      </c>
      <c r="B46" s="1" t="s">
        <v>110</v>
      </c>
      <c r="C46" s="1" t="s">
        <v>111</v>
      </c>
      <c r="D46" s="1">
        <v>300.0</v>
      </c>
      <c r="E46" s="1">
        <v>300.0</v>
      </c>
      <c r="F46" s="2">
        <f t="shared" si="1"/>
        <v>0</v>
      </c>
      <c r="G46" s="1">
        <v>300.0</v>
      </c>
      <c r="H46" s="1">
        <v>300.0</v>
      </c>
      <c r="O46" s="2">
        <f t="shared" si="20"/>
        <v>2</v>
      </c>
      <c r="P46" s="2">
        <f t="shared" si="21"/>
        <v>2</v>
      </c>
      <c r="R46" s="2">
        <f t="shared" si="22"/>
        <v>1</v>
      </c>
    </row>
    <row r="47" hidden="1">
      <c r="A47" s="1" t="s">
        <v>112</v>
      </c>
      <c r="D47" s="1">
        <v>-1.0</v>
      </c>
      <c r="E47" s="1">
        <v>-1.0</v>
      </c>
      <c r="F47" s="2">
        <f t="shared" si="1"/>
        <v>1</v>
      </c>
    </row>
    <row r="48">
      <c r="A48" s="1" t="s">
        <v>113</v>
      </c>
      <c r="B48" s="1" t="s">
        <v>114</v>
      </c>
      <c r="C48" s="1" t="s">
        <v>114</v>
      </c>
      <c r="D48" s="1">
        <v>600.0</v>
      </c>
      <c r="E48" s="1">
        <v>600.0</v>
      </c>
      <c r="F48" s="2">
        <f t="shared" si="1"/>
        <v>1</v>
      </c>
      <c r="G48" s="1">
        <v>600.0</v>
      </c>
      <c r="H48" s="1">
        <v>600.0</v>
      </c>
      <c r="O48" s="2">
        <f t="shared" ref="O48:O51" si="23">LEN(C48) - LEN(SUBSTITUTE(C48, ";", "")) + 1</f>
        <v>1</v>
      </c>
      <c r="P48" s="2">
        <f t="shared" ref="P48:P51" si="24">LEN(B48) - LEN(SUBSTITUTE(B48, ";", "")) + 1</f>
        <v>1</v>
      </c>
      <c r="R48" s="2">
        <f t="shared" ref="R48:R51" si="25">IF(B48 = C48, 0, 1)</f>
        <v>0</v>
      </c>
    </row>
    <row r="49">
      <c r="A49" s="1" t="s">
        <v>115</v>
      </c>
      <c r="B49" s="1" t="s">
        <v>116</v>
      </c>
      <c r="C49" s="1" t="s">
        <v>117</v>
      </c>
      <c r="D49" s="1">
        <v>300.0</v>
      </c>
      <c r="E49" s="1">
        <v>300.0</v>
      </c>
      <c r="F49" s="2">
        <f t="shared" si="1"/>
        <v>0</v>
      </c>
      <c r="G49" s="1">
        <v>300.0</v>
      </c>
      <c r="H49" s="1">
        <v>300.0</v>
      </c>
      <c r="O49" s="2">
        <f t="shared" si="23"/>
        <v>1</v>
      </c>
      <c r="P49" s="2">
        <f t="shared" si="24"/>
        <v>1</v>
      </c>
      <c r="R49" s="2">
        <f t="shared" si="25"/>
        <v>1</v>
      </c>
    </row>
    <row r="50">
      <c r="A50" s="1" t="s">
        <v>118</v>
      </c>
      <c r="B50" s="1" t="s">
        <v>119</v>
      </c>
      <c r="C50" s="1" t="s">
        <v>120</v>
      </c>
      <c r="D50" s="1">
        <v>20.0</v>
      </c>
      <c r="E50" s="1">
        <v>19.0</v>
      </c>
      <c r="F50" s="2">
        <f t="shared" si="1"/>
        <v>0</v>
      </c>
      <c r="G50" s="1">
        <v>20.0</v>
      </c>
      <c r="H50" s="1">
        <v>19.0</v>
      </c>
      <c r="O50" s="2">
        <f t="shared" si="23"/>
        <v>9</v>
      </c>
      <c r="P50" s="2">
        <f t="shared" si="24"/>
        <v>9</v>
      </c>
      <c r="R50" s="2">
        <f t="shared" si="25"/>
        <v>1</v>
      </c>
    </row>
    <row r="51">
      <c r="A51" s="1" t="s">
        <v>121</v>
      </c>
      <c r="B51" s="1" t="s">
        <v>122</v>
      </c>
      <c r="C51" s="1" t="s">
        <v>123</v>
      </c>
      <c r="D51" s="1">
        <v>3600.0</v>
      </c>
      <c r="E51" s="1">
        <v>3484.0</v>
      </c>
      <c r="F51" s="2">
        <f t="shared" si="1"/>
        <v>0</v>
      </c>
      <c r="G51" s="1">
        <v>3600.0</v>
      </c>
      <c r="H51" s="1">
        <v>3484.0</v>
      </c>
      <c r="O51" s="2">
        <f t="shared" si="23"/>
        <v>5</v>
      </c>
      <c r="P51" s="2">
        <f t="shared" si="24"/>
        <v>5</v>
      </c>
      <c r="R51" s="2">
        <f t="shared" si="25"/>
        <v>1</v>
      </c>
    </row>
    <row r="52" hidden="1">
      <c r="A52" s="1" t="s">
        <v>124</v>
      </c>
      <c r="D52" s="1">
        <v>-1.0</v>
      </c>
      <c r="E52" s="1">
        <v>-1.0</v>
      </c>
      <c r="F52" s="2">
        <f t="shared" si="1"/>
        <v>1</v>
      </c>
    </row>
    <row r="53">
      <c r="A53" s="1" t="s">
        <v>125</v>
      </c>
      <c r="B53" s="1" t="s">
        <v>126</v>
      </c>
      <c r="C53" s="1" t="s">
        <v>127</v>
      </c>
      <c r="D53" s="1">
        <v>127.0</v>
      </c>
      <c r="E53" s="1">
        <v>300.0</v>
      </c>
      <c r="F53" s="2">
        <f t="shared" si="1"/>
        <v>0</v>
      </c>
      <c r="G53" s="1">
        <v>127.0</v>
      </c>
      <c r="H53" s="1">
        <v>300.0</v>
      </c>
      <c r="O53" s="2">
        <f t="shared" ref="O53:O55" si="26">LEN(C53) - LEN(SUBSTITUTE(C53, ";", "")) + 1</f>
        <v>14</v>
      </c>
      <c r="P53" s="2">
        <f t="shared" ref="P53:P55" si="27">LEN(B53) - LEN(SUBSTITUTE(B53, ";", "")) + 1</f>
        <v>15</v>
      </c>
      <c r="R53" s="2">
        <f t="shared" ref="R53:R55" si="28">IF(B53 = C53, 0, 1)</f>
        <v>1</v>
      </c>
    </row>
    <row r="54">
      <c r="A54" s="1" t="s">
        <v>128</v>
      </c>
      <c r="B54" s="1" t="s">
        <v>129</v>
      </c>
      <c r="C54" s="1" t="s">
        <v>130</v>
      </c>
      <c r="D54" s="1">
        <v>60.0</v>
      </c>
      <c r="E54" s="1">
        <v>60.0</v>
      </c>
      <c r="F54" s="2">
        <f t="shared" si="1"/>
        <v>0</v>
      </c>
      <c r="G54" s="1">
        <v>60.0</v>
      </c>
      <c r="H54" s="1">
        <v>60.0</v>
      </c>
      <c r="O54" s="2">
        <f t="shared" si="26"/>
        <v>4</v>
      </c>
      <c r="P54" s="2">
        <f t="shared" si="27"/>
        <v>4</v>
      </c>
      <c r="R54" s="2">
        <f t="shared" si="28"/>
        <v>1</v>
      </c>
    </row>
    <row r="55">
      <c r="A55" s="1" t="s">
        <v>131</v>
      </c>
      <c r="B55" s="1" t="s">
        <v>132</v>
      </c>
      <c r="C55" s="1" t="s">
        <v>133</v>
      </c>
      <c r="D55" s="1">
        <v>900.0</v>
      </c>
      <c r="E55" s="1">
        <v>11.0</v>
      </c>
      <c r="F55" s="2">
        <f t="shared" si="1"/>
        <v>0</v>
      </c>
      <c r="G55" s="1">
        <v>900.0</v>
      </c>
      <c r="H55" s="1">
        <v>11.0</v>
      </c>
      <c r="O55" s="2">
        <f t="shared" si="26"/>
        <v>3</v>
      </c>
      <c r="P55" s="2">
        <f t="shared" si="27"/>
        <v>3</v>
      </c>
      <c r="R55" s="2">
        <f t="shared" si="28"/>
        <v>1</v>
      </c>
    </row>
    <row r="56" hidden="1">
      <c r="A56" s="1" t="s">
        <v>134</v>
      </c>
      <c r="D56" s="1">
        <v>-1.0</v>
      </c>
      <c r="E56" s="1">
        <v>-1.0</v>
      </c>
      <c r="F56" s="2">
        <f t="shared" si="1"/>
        <v>1</v>
      </c>
    </row>
    <row r="57">
      <c r="A57" s="1" t="s">
        <v>135</v>
      </c>
      <c r="B57" s="1" t="s">
        <v>136</v>
      </c>
      <c r="C57" s="1" t="s">
        <v>137</v>
      </c>
      <c r="D57" s="1">
        <v>3600.0</v>
      </c>
      <c r="E57" s="1">
        <v>966.0</v>
      </c>
      <c r="F57" s="2">
        <f t="shared" si="1"/>
        <v>0</v>
      </c>
      <c r="G57" s="1">
        <v>3600.0</v>
      </c>
      <c r="H57" s="1">
        <v>966.0</v>
      </c>
      <c r="O57" s="2">
        <f t="shared" ref="O57:O61" si="29">LEN(C57) - LEN(SUBSTITUTE(C57, ";", "")) + 1</f>
        <v>2</v>
      </c>
      <c r="P57" s="2">
        <f t="shared" ref="P57:P61" si="30">LEN(B57) - LEN(SUBSTITUTE(B57, ";", "")) + 1</f>
        <v>2</v>
      </c>
      <c r="R57" s="2">
        <f t="shared" ref="R57:R61" si="31">IF(B57 = C57, 0, 1)</f>
        <v>1</v>
      </c>
    </row>
    <row r="58">
      <c r="A58" s="1" t="s">
        <v>138</v>
      </c>
      <c r="B58" s="1" t="s">
        <v>139</v>
      </c>
      <c r="C58" s="1" t="s">
        <v>140</v>
      </c>
      <c r="D58" s="1">
        <v>300.0</v>
      </c>
      <c r="E58" s="1">
        <v>300.0</v>
      </c>
      <c r="F58" s="2">
        <f t="shared" si="1"/>
        <v>0</v>
      </c>
      <c r="G58" s="1">
        <v>300.0</v>
      </c>
      <c r="H58" s="1">
        <v>300.0</v>
      </c>
      <c r="O58" s="2">
        <f t="shared" si="29"/>
        <v>1</v>
      </c>
      <c r="P58" s="2">
        <f t="shared" si="30"/>
        <v>1</v>
      </c>
      <c r="R58" s="2">
        <f t="shared" si="31"/>
        <v>1</v>
      </c>
    </row>
    <row r="59">
      <c r="A59" s="1" t="s">
        <v>141</v>
      </c>
      <c r="B59" s="1" t="s">
        <v>142</v>
      </c>
      <c r="C59" s="1" t="s">
        <v>143</v>
      </c>
      <c r="D59" s="1">
        <v>64.0</v>
      </c>
      <c r="E59" s="1">
        <v>300.0</v>
      </c>
      <c r="F59" s="2">
        <f t="shared" si="1"/>
        <v>0</v>
      </c>
      <c r="G59" s="1">
        <v>64.0</v>
      </c>
      <c r="H59" s="1">
        <v>300.0</v>
      </c>
      <c r="O59" s="2">
        <f t="shared" si="29"/>
        <v>1</v>
      </c>
      <c r="P59" s="2">
        <f t="shared" si="30"/>
        <v>1</v>
      </c>
      <c r="R59" s="2">
        <f t="shared" si="31"/>
        <v>1</v>
      </c>
    </row>
    <row r="60">
      <c r="A60" s="1" t="s">
        <v>144</v>
      </c>
      <c r="B60" s="1" t="s">
        <v>145</v>
      </c>
      <c r="C60" s="1" t="s">
        <v>146</v>
      </c>
      <c r="D60" s="1">
        <v>6.0</v>
      </c>
      <c r="E60" s="1">
        <v>146.0</v>
      </c>
      <c r="F60" s="2">
        <f t="shared" si="1"/>
        <v>0</v>
      </c>
      <c r="G60" s="1">
        <v>6.0</v>
      </c>
      <c r="H60" s="1">
        <v>146.0</v>
      </c>
      <c r="O60" s="2">
        <f t="shared" si="29"/>
        <v>8</v>
      </c>
      <c r="P60" s="2">
        <f t="shared" si="30"/>
        <v>8</v>
      </c>
      <c r="R60" s="2">
        <f t="shared" si="31"/>
        <v>1</v>
      </c>
    </row>
    <row r="61">
      <c r="A61" s="1" t="s">
        <v>147</v>
      </c>
      <c r="B61" s="1" t="s">
        <v>148</v>
      </c>
      <c r="C61" s="1" t="s">
        <v>149</v>
      </c>
      <c r="D61" s="1">
        <v>300.0</v>
      </c>
      <c r="E61" s="1">
        <v>300.0</v>
      </c>
      <c r="F61" s="2">
        <f t="shared" si="1"/>
        <v>0</v>
      </c>
      <c r="G61" s="1">
        <v>300.0</v>
      </c>
      <c r="H61" s="1">
        <v>300.0</v>
      </c>
      <c r="O61" s="2">
        <f t="shared" si="29"/>
        <v>1</v>
      </c>
      <c r="P61" s="2">
        <f t="shared" si="30"/>
        <v>1</v>
      </c>
      <c r="R61" s="2">
        <f t="shared" si="31"/>
        <v>1</v>
      </c>
    </row>
    <row r="62" hidden="1">
      <c r="A62" s="1" t="s">
        <v>150</v>
      </c>
      <c r="D62" s="1">
        <v>-1.0</v>
      </c>
      <c r="E62" s="1">
        <v>-1.0</v>
      </c>
      <c r="F62" s="2">
        <f t="shared" si="1"/>
        <v>1</v>
      </c>
    </row>
    <row r="63" hidden="1">
      <c r="A63" s="1" t="s">
        <v>151</v>
      </c>
      <c r="D63" s="1">
        <v>-1.0</v>
      </c>
      <c r="E63" s="1">
        <v>-1.0</v>
      </c>
      <c r="F63" s="2">
        <f t="shared" si="1"/>
        <v>1</v>
      </c>
    </row>
    <row r="64">
      <c r="A64" s="1" t="s">
        <v>152</v>
      </c>
      <c r="B64" s="1" t="s">
        <v>153</v>
      </c>
      <c r="C64" s="1" t="s">
        <v>154</v>
      </c>
      <c r="D64" s="1">
        <v>185.0</v>
      </c>
      <c r="E64" s="1">
        <v>300.0</v>
      </c>
      <c r="F64" s="2">
        <f t="shared" si="1"/>
        <v>0</v>
      </c>
      <c r="G64" s="1">
        <v>185.0</v>
      </c>
      <c r="H64" s="1">
        <v>300.0</v>
      </c>
      <c r="O64" s="2">
        <f t="shared" ref="O64:O66" si="32">LEN(C64) - LEN(SUBSTITUTE(C64, ";", "")) + 1</f>
        <v>16</v>
      </c>
      <c r="P64" s="2">
        <f t="shared" ref="P64:P66" si="33">LEN(B64) - LEN(SUBSTITUTE(B64, ";", "")) + 1</f>
        <v>16</v>
      </c>
      <c r="R64" s="2">
        <f t="shared" ref="R64:R66" si="34">IF(B64 = C64, 0, 1)</f>
        <v>1</v>
      </c>
    </row>
    <row r="65">
      <c r="A65" s="1" t="s">
        <v>155</v>
      </c>
      <c r="B65" s="1" t="s">
        <v>156</v>
      </c>
      <c r="C65" s="1" t="s">
        <v>157</v>
      </c>
      <c r="D65" s="1">
        <v>149.0</v>
      </c>
      <c r="E65" s="1">
        <v>300.0</v>
      </c>
      <c r="F65" s="2">
        <f t="shared" si="1"/>
        <v>0</v>
      </c>
      <c r="G65" s="1">
        <v>149.0</v>
      </c>
      <c r="H65" s="1">
        <v>300.0</v>
      </c>
      <c r="O65" s="2">
        <f t="shared" si="32"/>
        <v>4</v>
      </c>
      <c r="P65" s="2">
        <f t="shared" si="33"/>
        <v>4</v>
      </c>
      <c r="R65" s="2">
        <f t="shared" si="34"/>
        <v>1</v>
      </c>
    </row>
    <row r="66">
      <c r="A66" s="1" t="s">
        <v>158</v>
      </c>
      <c r="B66" s="1" t="s">
        <v>159</v>
      </c>
      <c r="C66" s="1" t="s">
        <v>160</v>
      </c>
      <c r="D66" s="1">
        <v>43.0</v>
      </c>
      <c r="E66" s="1">
        <v>300.0</v>
      </c>
      <c r="F66" s="2">
        <f t="shared" si="1"/>
        <v>0</v>
      </c>
      <c r="G66" s="1">
        <v>43.0</v>
      </c>
      <c r="H66" s="1">
        <v>300.0</v>
      </c>
      <c r="O66" s="2">
        <f t="shared" si="32"/>
        <v>16</v>
      </c>
      <c r="P66" s="2">
        <f t="shared" si="33"/>
        <v>16</v>
      </c>
      <c r="R66" s="2">
        <f t="shared" si="34"/>
        <v>1</v>
      </c>
    </row>
    <row r="67" hidden="1">
      <c r="A67" s="1" t="s">
        <v>161</v>
      </c>
      <c r="D67" s="1">
        <v>-1.0</v>
      </c>
      <c r="E67" s="1">
        <v>-1.0</v>
      </c>
      <c r="F67" s="2">
        <f t="shared" si="1"/>
        <v>1</v>
      </c>
    </row>
    <row r="68">
      <c r="A68" s="1" t="s">
        <v>162</v>
      </c>
      <c r="B68" s="1" t="s">
        <v>163</v>
      </c>
      <c r="C68" s="1" t="s">
        <v>164</v>
      </c>
      <c r="D68" s="1">
        <v>250.0</v>
      </c>
      <c r="E68" s="1">
        <v>300.0</v>
      </c>
      <c r="F68" s="2">
        <f t="shared" si="1"/>
        <v>0</v>
      </c>
      <c r="G68" s="1">
        <v>250.0</v>
      </c>
      <c r="H68" s="1">
        <v>300.0</v>
      </c>
      <c r="O68" s="2">
        <f t="shared" ref="O68:O69" si="35">LEN(C68) - LEN(SUBSTITUTE(C68, ";", "")) + 1</f>
        <v>1</v>
      </c>
      <c r="P68" s="2">
        <f t="shared" ref="P68:P69" si="36">LEN(B68) - LEN(SUBSTITUTE(B68, ";", "")) + 1</f>
        <v>1</v>
      </c>
      <c r="R68" s="2">
        <f t="shared" ref="R68:R69" si="37">IF(B68 = C68, 0, 1)</f>
        <v>1</v>
      </c>
    </row>
    <row r="69">
      <c r="A69" s="1" t="s">
        <v>165</v>
      </c>
      <c r="B69" s="1" t="s">
        <v>166</v>
      </c>
      <c r="C69" s="1" t="s">
        <v>166</v>
      </c>
      <c r="D69" s="1">
        <v>221.0</v>
      </c>
      <c r="E69" s="1">
        <v>300.0</v>
      </c>
      <c r="F69" s="2">
        <f t="shared" si="1"/>
        <v>1</v>
      </c>
      <c r="G69" s="1">
        <v>221.0</v>
      </c>
      <c r="H69" s="1">
        <v>300.0</v>
      </c>
      <c r="O69" s="2">
        <f t="shared" si="35"/>
        <v>1</v>
      </c>
      <c r="P69" s="2">
        <f t="shared" si="36"/>
        <v>1</v>
      </c>
      <c r="R69" s="2">
        <f t="shared" si="37"/>
        <v>0</v>
      </c>
    </row>
    <row r="70" hidden="1">
      <c r="A70" s="1" t="s">
        <v>167</v>
      </c>
      <c r="D70" s="1">
        <v>-1.0</v>
      </c>
      <c r="E70" s="1">
        <v>-1.0</v>
      </c>
      <c r="F70" s="2">
        <f t="shared" si="1"/>
        <v>1</v>
      </c>
    </row>
    <row r="71">
      <c r="A71" s="1" t="s">
        <v>168</v>
      </c>
      <c r="B71" s="1" t="s">
        <v>169</v>
      </c>
      <c r="C71" s="1" t="s">
        <v>169</v>
      </c>
      <c r="D71" s="1">
        <v>300.0</v>
      </c>
      <c r="E71" s="1">
        <v>300.0</v>
      </c>
      <c r="F71" s="2">
        <f t="shared" si="1"/>
        <v>1</v>
      </c>
      <c r="G71" s="1">
        <v>300.0</v>
      </c>
      <c r="H71" s="1">
        <v>300.0</v>
      </c>
      <c r="O71" s="2">
        <f t="shared" ref="O71:O72" si="38">LEN(C71) - LEN(SUBSTITUTE(C71, ";", "")) + 1</f>
        <v>1</v>
      </c>
      <c r="P71" s="2">
        <f t="shared" ref="P71:P72" si="39">LEN(B71) - LEN(SUBSTITUTE(B71, ";", "")) + 1</f>
        <v>1</v>
      </c>
      <c r="R71" s="2">
        <f t="shared" ref="R71:R72" si="40">IF(B71 = C71, 0, 1)</f>
        <v>0</v>
      </c>
    </row>
    <row r="72">
      <c r="A72" s="1" t="s">
        <v>170</v>
      </c>
      <c r="B72" s="1" t="s">
        <v>171</v>
      </c>
      <c r="C72" s="1" t="s">
        <v>172</v>
      </c>
      <c r="D72" s="1">
        <v>72.0</v>
      </c>
      <c r="E72" s="1">
        <v>300.0</v>
      </c>
      <c r="F72" s="2">
        <f t="shared" si="1"/>
        <v>0</v>
      </c>
      <c r="G72" s="1">
        <v>72.0</v>
      </c>
      <c r="H72" s="1">
        <v>300.0</v>
      </c>
      <c r="O72" s="2">
        <f t="shared" si="38"/>
        <v>16</v>
      </c>
      <c r="P72" s="2">
        <f t="shared" si="39"/>
        <v>16</v>
      </c>
      <c r="R72" s="2">
        <f t="shared" si="40"/>
        <v>1</v>
      </c>
    </row>
    <row r="73" hidden="1">
      <c r="A73" s="1" t="s">
        <v>173</v>
      </c>
      <c r="D73" s="1">
        <v>-1.0</v>
      </c>
      <c r="E73" s="1">
        <v>-1.0</v>
      </c>
      <c r="F73" s="2">
        <f t="shared" si="1"/>
        <v>1</v>
      </c>
    </row>
    <row r="74">
      <c r="A74" s="1" t="s">
        <v>174</v>
      </c>
      <c r="B74" s="1" t="s">
        <v>175</v>
      </c>
      <c r="C74" s="1" t="s">
        <v>175</v>
      </c>
      <c r="D74" s="1">
        <v>60.0</v>
      </c>
      <c r="E74" s="1">
        <v>60.0</v>
      </c>
      <c r="F74" s="2">
        <f t="shared" si="1"/>
        <v>1</v>
      </c>
      <c r="G74" s="1">
        <v>60.0</v>
      </c>
      <c r="H74" s="1">
        <v>60.0</v>
      </c>
      <c r="O74" s="2">
        <f>LEN(C74) - LEN(SUBSTITUTE(C74, ";", "")) + 1</f>
        <v>1</v>
      </c>
      <c r="P74" s="2">
        <f>LEN(B74) - LEN(SUBSTITUTE(B74, ";", "")) + 1</f>
        <v>1</v>
      </c>
      <c r="R74" s="2">
        <f>IF(B74 = C74, 0, 1)</f>
        <v>0</v>
      </c>
    </row>
    <row r="75" hidden="1">
      <c r="A75" s="1" t="s">
        <v>176</v>
      </c>
      <c r="D75" s="1">
        <v>-1.0</v>
      </c>
      <c r="E75" s="1">
        <v>-1.0</v>
      </c>
      <c r="F75" s="2">
        <f t="shared" si="1"/>
        <v>1</v>
      </c>
    </row>
    <row r="76">
      <c r="A76" s="1" t="s">
        <v>177</v>
      </c>
      <c r="B76" s="1" t="s">
        <v>178</v>
      </c>
      <c r="C76" s="1" t="s">
        <v>179</v>
      </c>
      <c r="D76" s="1">
        <v>3600.0</v>
      </c>
      <c r="E76" s="1">
        <v>1856.0</v>
      </c>
      <c r="F76" s="2">
        <f t="shared" si="1"/>
        <v>0</v>
      </c>
      <c r="G76" s="1">
        <v>3600.0</v>
      </c>
      <c r="H76" s="1">
        <v>1856.0</v>
      </c>
      <c r="O76" s="2">
        <f t="shared" ref="O76:O77" si="41">LEN(C76) - LEN(SUBSTITUTE(C76, ";", "")) + 1</f>
        <v>5</v>
      </c>
      <c r="P76" s="2">
        <f t="shared" ref="P76:P77" si="42">LEN(B76) - LEN(SUBSTITUTE(B76, ";", "")) + 1</f>
        <v>5</v>
      </c>
      <c r="R76" s="2">
        <f t="shared" ref="R76:R77" si="43">IF(B76 = C76, 0, 1)</f>
        <v>1</v>
      </c>
    </row>
    <row r="77">
      <c r="A77" s="1" t="s">
        <v>180</v>
      </c>
      <c r="B77" s="1" t="s">
        <v>181</v>
      </c>
      <c r="C77" s="1" t="s">
        <v>182</v>
      </c>
      <c r="D77" s="1">
        <v>124.0</v>
      </c>
      <c r="E77" s="1">
        <v>300.0</v>
      </c>
      <c r="F77" s="2">
        <f t="shared" si="1"/>
        <v>0</v>
      </c>
      <c r="G77" s="1">
        <v>124.0</v>
      </c>
      <c r="H77" s="1">
        <v>300.0</v>
      </c>
      <c r="O77" s="2">
        <f t="shared" si="41"/>
        <v>16</v>
      </c>
      <c r="P77" s="2">
        <f t="shared" si="42"/>
        <v>16</v>
      </c>
      <c r="R77" s="2">
        <f t="shared" si="43"/>
        <v>1</v>
      </c>
    </row>
    <row r="78" hidden="1">
      <c r="A78" s="1" t="s">
        <v>183</v>
      </c>
      <c r="D78" s="1">
        <v>-1.0</v>
      </c>
      <c r="E78" s="1">
        <v>-1.0</v>
      </c>
      <c r="F78" s="2">
        <f t="shared" si="1"/>
        <v>1</v>
      </c>
    </row>
    <row r="79">
      <c r="A79" s="1" t="s">
        <v>184</v>
      </c>
      <c r="B79" s="1" t="s">
        <v>185</v>
      </c>
      <c r="C79" s="1" t="s">
        <v>185</v>
      </c>
      <c r="D79" s="1">
        <v>60.0</v>
      </c>
      <c r="E79" s="1">
        <v>60.0</v>
      </c>
      <c r="F79" s="2">
        <f t="shared" si="1"/>
        <v>1</v>
      </c>
      <c r="G79" s="1">
        <v>60.0</v>
      </c>
      <c r="H79" s="1">
        <v>60.0</v>
      </c>
      <c r="O79" s="2">
        <f t="shared" ref="O79:O81" si="44">LEN(C79) - LEN(SUBSTITUTE(C79, ";", "")) + 1</f>
        <v>1</v>
      </c>
      <c r="P79" s="2">
        <f t="shared" ref="P79:P81" si="45">LEN(B79) - LEN(SUBSTITUTE(B79, ";", "")) + 1</f>
        <v>1</v>
      </c>
      <c r="R79" s="2">
        <f t="shared" ref="R79:R81" si="46">IF(B79 = C79, 0, 1)</f>
        <v>0</v>
      </c>
    </row>
    <row r="80">
      <c r="A80" s="1" t="s">
        <v>186</v>
      </c>
      <c r="B80" s="1" t="s">
        <v>187</v>
      </c>
      <c r="C80" s="1" t="s">
        <v>188</v>
      </c>
      <c r="D80" s="1">
        <v>253.0</v>
      </c>
      <c r="E80" s="1">
        <v>300.0</v>
      </c>
      <c r="F80" s="2">
        <f t="shared" si="1"/>
        <v>0</v>
      </c>
      <c r="G80" s="1">
        <v>253.0</v>
      </c>
      <c r="H80" s="1">
        <v>300.0</v>
      </c>
      <c r="O80" s="2">
        <f t="shared" si="44"/>
        <v>16</v>
      </c>
      <c r="P80" s="2">
        <f t="shared" si="45"/>
        <v>16</v>
      </c>
      <c r="R80" s="2">
        <f t="shared" si="46"/>
        <v>1</v>
      </c>
    </row>
    <row r="81">
      <c r="A81" s="1" t="s">
        <v>189</v>
      </c>
      <c r="B81" s="1" t="s">
        <v>190</v>
      </c>
      <c r="C81" s="1" t="s">
        <v>191</v>
      </c>
      <c r="D81" s="1">
        <v>229.0</v>
      </c>
      <c r="E81" s="1">
        <v>300.0</v>
      </c>
      <c r="F81" s="2">
        <f t="shared" si="1"/>
        <v>0</v>
      </c>
      <c r="G81" s="1">
        <v>229.0</v>
      </c>
      <c r="H81" s="1">
        <v>300.0</v>
      </c>
      <c r="O81" s="2">
        <f t="shared" si="44"/>
        <v>16</v>
      </c>
      <c r="P81" s="2">
        <f t="shared" si="45"/>
        <v>16</v>
      </c>
      <c r="R81" s="2">
        <f t="shared" si="46"/>
        <v>1</v>
      </c>
    </row>
    <row r="82" hidden="1">
      <c r="A82" s="1" t="s">
        <v>192</v>
      </c>
      <c r="D82" s="1">
        <v>-1.0</v>
      </c>
      <c r="E82" s="1">
        <v>-1.0</v>
      </c>
      <c r="F82" s="2">
        <f t="shared" si="1"/>
        <v>1</v>
      </c>
    </row>
    <row r="83">
      <c r="A83" s="1" t="s">
        <v>193</v>
      </c>
      <c r="B83" s="1" t="s">
        <v>194</v>
      </c>
      <c r="C83" s="1" t="s">
        <v>194</v>
      </c>
      <c r="D83" s="1">
        <v>600.0</v>
      </c>
      <c r="E83" s="1">
        <v>295.0</v>
      </c>
      <c r="F83" s="2">
        <f t="shared" si="1"/>
        <v>1</v>
      </c>
      <c r="G83" s="1">
        <v>600.0</v>
      </c>
      <c r="H83" s="1">
        <v>295.0</v>
      </c>
      <c r="O83" s="2">
        <f>LEN(C83) - LEN(SUBSTITUTE(C83, ";", "")) + 1</f>
        <v>3</v>
      </c>
      <c r="P83" s="2">
        <f>LEN(B83) - LEN(SUBSTITUTE(B83, ";", "")) + 1</f>
        <v>3</v>
      </c>
      <c r="R83" s="2">
        <f>IF(B83 = C83, 0, 1)</f>
        <v>0</v>
      </c>
    </row>
    <row r="84" hidden="1">
      <c r="A84" s="1" t="s">
        <v>195</v>
      </c>
      <c r="D84" s="1">
        <v>-1.0</v>
      </c>
      <c r="E84" s="1">
        <v>-1.0</v>
      </c>
      <c r="F84" s="2">
        <f t="shared" si="1"/>
        <v>1</v>
      </c>
    </row>
    <row r="85">
      <c r="A85" s="1" t="s">
        <v>196</v>
      </c>
      <c r="B85" s="1" t="s">
        <v>197</v>
      </c>
      <c r="C85" s="1" t="s">
        <v>198</v>
      </c>
      <c r="D85" s="1">
        <v>284.0</v>
      </c>
      <c r="E85" s="1">
        <v>300.0</v>
      </c>
      <c r="F85" s="2">
        <f t="shared" si="1"/>
        <v>0</v>
      </c>
      <c r="G85" s="1">
        <v>284.0</v>
      </c>
      <c r="H85" s="1">
        <v>300.0</v>
      </c>
      <c r="O85" s="2">
        <f t="shared" ref="O85:O88" si="47">LEN(C85) - LEN(SUBSTITUTE(C85, ";", "")) + 1</f>
        <v>16</v>
      </c>
      <c r="P85" s="2">
        <f t="shared" ref="P85:P88" si="48">LEN(B85) - LEN(SUBSTITUTE(B85, ";", "")) + 1</f>
        <v>16</v>
      </c>
      <c r="R85" s="2">
        <f t="shared" ref="R85:R88" si="49">IF(B85 = C85, 0, 1)</f>
        <v>1</v>
      </c>
    </row>
    <row r="86">
      <c r="A86" s="1" t="s">
        <v>199</v>
      </c>
      <c r="B86" s="1" t="s">
        <v>30</v>
      </c>
      <c r="C86" s="1" t="s">
        <v>30</v>
      </c>
      <c r="D86" s="1">
        <v>59.0</v>
      </c>
      <c r="E86" s="1">
        <v>60.0</v>
      </c>
      <c r="F86" s="2">
        <f t="shared" si="1"/>
        <v>1</v>
      </c>
      <c r="G86" s="1">
        <v>59.0</v>
      </c>
      <c r="H86" s="1">
        <v>60.0</v>
      </c>
      <c r="O86" s="2">
        <f t="shared" si="47"/>
        <v>1</v>
      </c>
      <c r="P86" s="2">
        <f t="shared" si="48"/>
        <v>1</v>
      </c>
      <c r="R86" s="2">
        <f t="shared" si="49"/>
        <v>0</v>
      </c>
    </row>
    <row r="87">
      <c r="A87" s="1" t="s">
        <v>200</v>
      </c>
      <c r="B87" s="1" t="s">
        <v>201</v>
      </c>
      <c r="C87" s="1" t="s">
        <v>202</v>
      </c>
      <c r="D87" s="1">
        <v>88.0</v>
      </c>
      <c r="E87" s="1">
        <v>300.0</v>
      </c>
      <c r="F87" s="2">
        <f t="shared" si="1"/>
        <v>0</v>
      </c>
      <c r="G87" s="1">
        <v>88.0</v>
      </c>
      <c r="H87" s="1">
        <v>300.0</v>
      </c>
      <c r="O87" s="2">
        <f t="shared" si="47"/>
        <v>1</v>
      </c>
      <c r="P87" s="2">
        <f t="shared" si="48"/>
        <v>1</v>
      </c>
      <c r="R87" s="2">
        <f t="shared" si="49"/>
        <v>1</v>
      </c>
    </row>
    <row r="88">
      <c r="A88" s="1" t="s">
        <v>203</v>
      </c>
      <c r="B88" s="1" t="s">
        <v>204</v>
      </c>
      <c r="C88" s="1" t="s">
        <v>60</v>
      </c>
      <c r="D88" s="1">
        <v>300.0</v>
      </c>
      <c r="E88" s="1">
        <v>300.0</v>
      </c>
      <c r="F88" s="2">
        <f t="shared" si="1"/>
        <v>0</v>
      </c>
      <c r="G88" s="1">
        <v>300.0</v>
      </c>
      <c r="H88" s="1">
        <v>300.0</v>
      </c>
      <c r="O88" s="2">
        <f t="shared" si="47"/>
        <v>1</v>
      </c>
      <c r="P88" s="2">
        <f t="shared" si="48"/>
        <v>1</v>
      </c>
      <c r="R88" s="2">
        <f t="shared" si="49"/>
        <v>1</v>
      </c>
    </row>
    <row r="89" hidden="1">
      <c r="A89" s="1" t="s">
        <v>205</v>
      </c>
      <c r="D89" s="1">
        <v>-1.0</v>
      </c>
      <c r="E89" s="1">
        <v>-1.0</v>
      </c>
      <c r="F89" s="2">
        <f t="shared" si="1"/>
        <v>1</v>
      </c>
    </row>
    <row r="90">
      <c r="A90" s="1" t="s">
        <v>206</v>
      </c>
      <c r="B90" s="1" t="s">
        <v>207</v>
      </c>
      <c r="C90" s="1" t="s">
        <v>207</v>
      </c>
      <c r="D90" s="1">
        <v>1103.0</v>
      </c>
      <c r="E90" s="1">
        <v>941.0</v>
      </c>
      <c r="F90" s="2">
        <f t="shared" si="1"/>
        <v>1</v>
      </c>
      <c r="G90" s="1">
        <v>1103.0</v>
      </c>
      <c r="H90" s="1">
        <v>941.0</v>
      </c>
      <c r="O90" s="2">
        <f t="shared" ref="O90:O94" si="50">LEN(C90) - LEN(SUBSTITUTE(C90, ";", "")) + 1</f>
        <v>1</v>
      </c>
      <c r="P90" s="2">
        <f t="shared" ref="P90:P94" si="51">LEN(B90) - LEN(SUBSTITUTE(B90, ";", "")) + 1</f>
        <v>1</v>
      </c>
      <c r="R90" s="2">
        <f t="shared" ref="R90:R94" si="52">IF(B90 = C90, 0, 1)</f>
        <v>0</v>
      </c>
    </row>
    <row r="91">
      <c r="A91" s="1" t="s">
        <v>208</v>
      </c>
      <c r="B91" s="1" t="s">
        <v>209</v>
      </c>
      <c r="C91" s="1" t="s">
        <v>210</v>
      </c>
      <c r="D91" s="1">
        <v>141.0</v>
      </c>
      <c r="E91" s="1">
        <v>300.0</v>
      </c>
      <c r="F91" s="2">
        <f t="shared" si="1"/>
        <v>0</v>
      </c>
      <c r="G91" s="1">
        <v>141.0</v>
      </c>
      <c r="H91" s="1">
        <v>300.0</v>
      </c>
      <c r="O91" s="2">
        <f t="shared" si="50"/>
        <v>16</v>
      </c>
      <c r="P91" s="2">
        <f t="shared" si="51"/>
        <v>16</v>
      </c>
      <c r="R91" s="2">
        <f t="shared" si="52"/>
        <v>1</v>
      </c>
    </row>
    <row r="92">
      <c r="A92" s="1" t="s">
        <v>211</v>
      </c>
      <c r="B92" s="1" t="s">
        <v>212</v>
      </c>
      <c r="C92" s="1" t="s">
        <v>213</v>
      </c>
      <c r="D92" s="1">
        <v>1800.0</v>
      </c>
      <c r="E92" s="1">
        <v>1649.0</v>
      </c>
      <c r="F92" s="2">
        <f t="shared" si="1"/>
        <v>0</v>
      </c>
      <c r="G92" s="1">
        <v>1800.0</v>
      </c>
      <c r="H92" s="1">
        <v>1649.0</v>
      </c>
      <c r="O92" s="2">
        <f t="shared" si="50"/>
        <v>6</v>
      </c>
      <c r="P92" s="2">
        <f t="shared" si="51"/>
        <v>6</v>
      </c>
      <c r="R92" s="2">
        <f t="shared" si="52"/>
        <v>1</v>
      </c>
    </row>
    <row r="93">
      <c r="A93" s="1" t="s">
        <v>214</v>
      </c>
      <c r="B93" s="1" t="s">
        <v>215</v>
      </c>
      <c r="C93" s="1" t="s">
        <v>215</v>
      </c>
      <c r="D93" s="1">
        <v>822.0</v>
      </c>
      <c r="E93" s="1">
        <v>600.0</v>
      </c>
      <c r="F93" s="2">
        <f t="shared" si="1"/>
        <v>1</v>
      </c>
      <c r="G93" s="1">
        <v>822.0</v>
      </c>
      <c r="H93" s="1">
        <v>600.0</v>
      </c>
      <c r="O93" s="2">
        <f t="shared" si="50"/>
        <v>1</v>
      </c>
      <c r="P93" s="2">
        <f t="shared" si="51"/>
        <v>1</v>
      </c>
      <c r="R93" s="2">
        <f t="shared" si="52"/>
        <v>0</v>
      </c>
    </row>
    <row r="94">
      <c r="A94" s="1" t="s">
        <v>216</v>
      </c>
      <c r="B94" s="1" t="s">
        <v>217</v>
      </c>
      <c r="C94" s="1" t="s">
        <v>218</v>
      </c>
      <c r="D94" s="1">
        <v>289.0</v>
      </c>
      <c r="E94" s="1">
        <v>300.0</v>
      </c>
      <c r="F94" s="2">
        <f t="shared" si="1"/>
        <v>0</v>
      </c>
      <c r="G94" s="1">
        <v>289.0</v>
      </c>
      <c r="H94" s="1">
        <v>300.0</v>
      </c>
      <c r="O94" s="2">
        <f t="shared" si="50"/>
        <v>16</v>
      </c>
      <c r="P94" s="2">
        <f t="shared" si="51"/>
        <v>16</v>
      </c>
      <c r="R94" s="2">
        <f t="shared" si="52"/>
        <v>1</v>
      </c>
    </row>
    <row r="95" hidden="1">
      <c r="A95" s="1" t="s">
        <v>219</v>
      </c>
      <c r="D95" s="1">
        <v>-1.0</v>
      </c>
      <c r="E95" s="1">
        <v>-1.0</v>
      </c>
      <c r="F95" s="2">
        <f t="shared" si="1"/>
        <v>1</v>
      </c>
    </row>
    <row r="96">
      <c r="A96" s="1" t="s">
        <v>220</v>
      </c>
      <c r="B96" s="1" t="s">
        <v>221</v>
      </c>
      <c r="C96" s="1" t="s">
        <v>222</v>
      </c>
      <c r="D96" s="1">
        <v>183.0</v>
      </c>
      <c r="E96" s="1">
        <v>300.0</v>
      </c>
      <c r="F96" s="2">
        <f t="shared" si="1"/>
        <v>0</v>
      </c>
      <c r="G96" s="1">
        <v>183.0</v>
      </c>
      <c r="H96" s="1">
        <v>300.0</v>
      </c>
      <c r="O96" s="2">
        <f t="shared" ref="O96:O99" si="53">LEN(C96) - LEN(SUBSTITUTE(C96, ";", "")) + 1</f>
        <v>16</v>
      </c>
      <c r="P96" s="2">
        <f t="shared" ref="P96:P99" si="54">LEN(B96) - LEN(SUBSTITUTE(B96, ";", "")) + 1</f>
        <v>16</v>
      </c>
      <c r="R96" s="2">
        <f t="shared" ref="R96:R99" si="55">IF(B96 = C96, 0, 1)</f>
        <v>1</v>
      </c>
    </row>
    <row r="97">
      <c r="A97" s="1" t="s">
        <v>223</v>
      </c>
      <c r="B97" s="1" t="s">
        <v>169</v>
      </c>
      <c r="C97" s="1" t="s">
        <v>169</v>
      </c>
      <c r="D97" s="1">
        <v>300.0</v>
      </c>
      <c r="E97" s="1">
        <v>139.0</v>
      </c>
      <c r="F97" s="2">
        <f t="shared" si="1"/>
        <v>1</v>
      </c>
      <c r="G97" s="1">
        <v>300.0</v>
      </c>
      <c r="H97" s="1">
        <v>139.0</v>
      </c>
      <c r="O97" s="2">
        <f t="shared" si="53"/>
        <v>1</v>
      </c>
      <c r="P97" s="2">
        <f t="shared" si="54"/>
        <v>1</v>
      </c>
      <c r="R97" s="2">
        <f t="shared" si="55"/>
        <v>0</v>
      </c>
    </row>
    <row r="98">
      <c r="A98" s="1" t="s">
        <v>224</v>
      </c>
      <c r="B98" s="1" t="s">
        <v>225</v>
      </c>
      <c r="C98" s="1" t="s">
        <v>225</v>
      </c>
      <c r="D98" s="1">
        <v>3600.0</v>
      </c>
      <c r="E98" s="1">
        <v>2125.0</v>
      </c>
      <c r="F98" s="2">
        <f t="shared" si="1"/>
        <v>1</v>
      </c>
      <c r="G98" s="1">
        <v>3600.0</v>
      </c>
      <c r="H98" s="1">
        <v>2125.0</v>
      </c>
      <c r="O98" s="2">
        <f t="shared" si="53"/>
        <v>1</v>
      </c>
      <c r="P98" s="2">
        <f t="shared" si="54"/>
        <v>1</v>
      </c>
      <c r="R98" s="2">
        <f t="shared" si="55"/>
        <v>0</v>
      </c>
    </row>
    <row r="99">
      <c r="A99" s="1" t="s">
        <v>226</v>
      </c>
      <c r="B99" s="1" t="s">
        <v>227</v>
      </c>
      <c r="C99" s="1" t="s">
        <v>228</v>
      </c>
      <c r="D99" s="1">
        <v>260.0</v>
      </c>
      <c r="E99" s="1">
        <v>300.0</v>
      </c>
      <c r="F99" s="2">
        <f t="shared" si="1"/>
        <v>0</v>
      </c>
      <c r="G99" s="1">
        <v>260.0</v>
      </c>
      <c r="H99" s="1">
        <v>300.0</v>
      </c>
      <c r="O99" s="2">
        <f t="shared" si="53"/>
        <v>16</v>
      </c>
      <c r="P99" s="2">
        <f t="shared" si="54"/>
        <v>16</v>
      </c>
      <c r="R99" s="2">
        <f t="shared" si="55"/>
        <v>1</v>
      </c>
    </row>
    <row r="100" hidden="1">
      <c r="A100" s="1" t="s">
        <v>229</v>
      </c>
      <c r="D100" s="1">
        <v>-1.0</v>
      </c>
      <c r="E100" s="1">
        <v>-1.0</v>
      </c>
      <c r="F100" s="2">
        <f t="shared" si="1"/>
        <v>1</v>
      </c>
    </row>
    <row r="101">
      <c r="A101" s="1" t="s">
        <v>230</v>
      </c>
      <c r="B101" s="1" t="s">
        <v>231</v>
      </c>
      <c r="C101" s="1" t="s">
        <v>232</v>
      </c>
      <c r="D101" s="1">
        <v>171.0</v>
      </c>
      <c r="E101" s="1">
        <v>300.0</v>
      </c>
      <c r="F101" s="2">
        <f t="shared" si="1"/>
        <v>0</v>
      </c>
      <c r="G101" s="1">
        <v>171.0</v>
      </c>
      <c r="H101" s="1">
        <v>300.0</v>
      </c>
      <c r="O101" s="2">
        <f t="shared" ref="O101:O106" si="56">LEN(C101) - LEN(SUBSTITUTE(C101, ";", "")) + 1</f>
        <v>4</v>
      </c>
      <c r="P101" s="2">
        <f t="shared" ref="P101:P106" si="57">LEN(B101) - LEN(SUBSTITUTE(B101, ";", "")) + 1</f>
        <v>4</v>
      </c>
      <c r="R101" s="2">
        <f t="shared" ref="R101:R106" si="58">IF(B101 = C101, 0, 1)</f>
        <v>1</v>
      </c>
    </row>
    <row r="102">
      <c r="A102" s="1" t="s">
        <v>233</v>
      </c>
      <c r="B102" s="1" t="s">
        <v>234</v>
      </c>
      <c r="C102" s="1" t="s">
        <v>235</v>
      </c>
      <c r="D102" s="1">
        <v>300.0</v>
      </c>
      <c r="E102" s="1">
        <v>143.0</v>
      </c>
      <c r="F102" s="2">
        <f t="shared" si="1"/>
        <v>0</v>
      </c>
      <c r="G102" s="1">
        <v>300.0</v>
      </c>
      <c r="H102" s="1">
        <v>143.0</v>
      </c>
      <c r="O102" s="2">
        <f t="shared" si="56"/>
        <v>9</v>
      </c>
      <c r="P102" s="2">
        <f t="shared" si="57"/>
        <v>9</v>
      </c>
      <c r="R102" s="2">
        <f t="shared" si="58"/>
        <v>1</v>
      </c>
    </row>
    <row r="103">
      <c r="A103" s="1" t="s">
        <v>236</v>
      </c>
      <c r="B103" s="1" t="s">
        <v>237</v>
      </c>
      <c r="C103" s="1" t="s">
        <v>237</v>
      </c>
      <c r="D103" s="1">
        <v>300.0</v>
      </c>
      <c r="E103" s="1">
        <v>126.0</v>
      </c>
      <c r="F103" s="2">
        <f t="shared" si="1"/>
        <v>1</v>
      </c>
      <c r="G103" s="1">
        <v>300.0</v>
      </c>
      <c r="H103" s="1">
        <v>126.0</v>
      </c>
      <c r="O103" s="2">
        <f t="shared" si="56"/>
        <v>3</v>
      </c>
      <c r="P103" s="2">
        <f t="shared" si="57"/>
        <v>3</v>
      </c>
      <c r="R103" s="2">
        <f t="shared" si="58"/>
        <v>0</v>
      </c>
    </row>
    <row r="104">
      <c r="A104" s="1" t="s">
        <v>238</v>
      </c>
      <c r="B104" s="1" t="s">
        <v>239</v>
      </c>
      <c r="C104" s="1" t="s">
        <v>239</v>
      </c>
      <c r="D104" s="1">
        <v>14400.0</v>
      </c>
      <c r="E104" s="1">
        <v>14400.0</v>
      </c>
      <c r="F104" s="2">
        <f t="shared" si="1"/>
        <v>1</v>
      </c>
      <c r="G104" s="1">
        <v>14400.0</v>
      </c>
      <c r="H104" s="1">
        <v>14400.0</v>
      </c>
      <c r="O104" s="2">
        <f t="shared" si="56"/>
        <v>1</v>
      </c>
      <c r="P104" s="2">
        <f t="shared" si="57"/>
        <v>1</v>
      </c>
      <c r="R104" s="2">
        <f t="shared" si="58"/>
        <v>0</v>
      </c>
    </row>
    <row r="105">
      <c r="A105" s="1" t="s">
        <v>240</v>
      </c>
      <c r="B105" s="1" t="s">
        <v>241</v>
      </c>
      <c r="C105" s="1" t="s">
        <v>241</v>
      </c>
      <c r="D105" s="1">
        <v>600.0</v>
      </c>
      <c r="E105" s="1">
        <v>179.0</v>
      </c>
      <c r="F105" s="2">
        <f t="shared" si="1"/>
        <v>1</v>
      </c>
      <c r="G105" s="1">
        <v>600.0</v>
      </c>
      <c r="H105" s="1">
        <v>179.0</v>
      </c>
      <c r="O105" s="2">
        <f t="shared" si="56"/>
        <v>2</v>
      </c>
      <c r="P105" s="2">
        <f t="shared" si="57"/>
        <v>2</v>
      </c>
      <c r="R105" s="2">
        <f t="shared" si="58"/>
        <v>0</v>
      </c>
    </row>
    <row r="106">
      <c r="A106" s="1" t="s">
        <v>242</v>
      </c>
      <c r="B106" s="1" t="s">
        <v>243</v>
      </c>
      <c r="C106" s="1" t="s">
        <v>243</v>
      </c>
      <c r="D106" s="1">
        <v>14.0</v>
      </c>
      <c r="E106" s="1">
        <v>67.0</v>
      </c>
      <c r="F106" s="2">
        <f t="shared" si="1"/>
        <v>1</v>
      </c>
      <c r="G106" s="1">
        <v>14.0</v>
      </c>
      <c r="H106" s="1">
        <v>67.0</v>
      </c>
      <c r="O106" s="2">
        <f t="shared" si="56"/>
        <v>2</v>
      </c>
      <c r="P106" s="2">
        <f t="shared" si="57"/>
        <v>2</v>
      </c>
      <c r="R106" s="2">
        <f t="shared" si="58"/>
        <v>0</v>
      </c>
    </row>
    <row r="107" hidden="1">
      <c r="A107" s="1" t="s">
        <v>244</v>
      </c>
      <c r="D107" s="1">
        <v>-1.0</v>
      </c>
      <c r="E107" s="1">
        <v>-1.0</v>
      </c>
      <c r="F107" s="2">
        <f t="shared" si="1"/>
        <v>1</v>
      </c>
    </row>
    <row r="108" hidden="1">
      <c r="A108" s="1" t="s">
        <v>245</v>
      </c>
      <c r="D108" s="1">
        <v>-1.0</v>
      </c>
      <c r="E108" s="1">
        <v>-1.0</v>
      </c>
      <c r="F108" s="2">
        <f t="shared" si="1"/>
        <v>1</v>
      </c>
    </row>
    <row r="109" hidden="1">
      <c r="A109" s="1" t="s">
        <v>246</v>
      </c>
      <c r="D109" s="1">
        <v>-1.0</v>
      </c>
      <c r="E109" s="1">
        <v>-1.0</v>
      </c>
      <c r="F109" s="2">
        <f t="shared" si="1"/>
        <v>1</v>
      </c>
    </row>
    <row r="110" hidden="1">
      <c r="A110" s="1" t="s">
        <v>247</v>
      </c>
      <c r="D110" s="1">
        <v>-1.0</v>
      </c>
      <c r="E110" s="1">
        <v>-1.0</v>
      </c>
      <c r="F110" s="2">
        <f t="shared" si="1"/>
        <v>1</v>
      </c>
    </row>
    <row r="111">
      <c r="A111" s="1" t="s">
        <v>248</v>
      </c>
      <c r="B111" s="1" t="s">
        <v>249</v>
      </c>
      <c r="C111" s="1" t="s">
        <v>249</v>
      </c>
      <c r="D111" s="1">
        <v>300.0</v>
      </c>
      <c r="E111" s="1">
        <v>134.0</v>
      </c>
      <c r="F111" s="2">
        <f t="shared" si="1"/>
        <v>1</v>
      </c>
      <c r="G111" s="1">
        <v>300.0</v>
      </c>
      <c r="H111" s="1">
        <v>134.0</v>
      </c>
      <c r="O111" s="2">
        <f t="shared" ref="O111:O115" si="59">LEN(C111) - LEN(SUBSTITUTE(C111, ";", "")) + 1</f>
        <v>1</v>
      </c>
      <c r="P111" s="2">
        <f t="shared" ref="P111:P115" si="60">LEN(B111) - LEN(SUBSTITUTE(B111, ";", "")) + 1</f>
        <v>1</v>
      </c>
      <c r="R111" s="2">
        <f t="shared" ref="R111:R115" si="61">IF(B111 = C111, 0, 1)</f>
        <v>0</v>
      </c>
    </row>
    <row r="112">
      <c r="A112" s="1" t="s">
        <v>250</v>
      </c>
      <c r="B112" s="1" t="s">
        <v>251</v>
      </c>
      <c r="C112" s="1" t="s">
        <v>251</v>
      </c>
      <c r="D112" s="1">
        <v>300.0</v>
      </c>
      <c r="E112" s="1">
        <v>300.0</v>
      </c>
      <c r="F112" s="2">
        <f t="shared" si="1"/>
        <v>1</v>
      </c>
      <c r="G112" s="1">
        <v>300.0</v>
      </c>
      <c r="H112" s="1">
        <v>300.0</v>
      </c>
      <c r="O112" s="2">
        <f t="shared" si="59"/>
        <v>1</v>
      </c>
      <c r="P112" s="2">
        <f t="shared" si="60"/>
        <v>1</v>
      </c>
      <c r="R112" s="2">
        <f t="shared" si="61"/>
        <v>0</v>
      </c>
    </row>
    <row r="113">
      <c r="A113" s="1" t="s">
        <v>252</v>
      </c>
      <c r="B113" s="1" t="s">
        <v>253</v>
      </c>
      <c r="C113" s="1" t="s">
        <v>253</v>
      </c>
      <c r="D113" s="1">
        <v>2656.0</v>
      </c>
      <c r="E113" s="1">
        <v>166.0</v>
      </c>
      <c r="F113" s="2">
        <f t="shared" si="1"/>
        <v>1</v>
      </c>
      <c r="G113" s="1">
        <v>2656.0</v>
      </c>
      <c r="H113" s="1">
        <v>166.0</v>
      </c>
      <c r="O113" s="2">
        <f t="shared" si="59"/>
        <v>1</v>
      </c>
      <c r="P113" s="2">
        <f t="shared" si="60"/>
        <v>1</v>
      </c>
      <c r="R113" s="2">
        <f t="shared" si="61"/>
        <v>0</v>
      </c>
    </row>
    <row r="114">
      <c r="A114" s="1" t="s">
        <v>254</v>
      </c>
      <c r="B114" s="1" t="s">
        <v>255</v>
      </c>
      <c r="C114" s="1" t="s">
        <v>256</v>
      </c>
      <c r="D114" s="1">
        <v>300.0</v>
      </c>
      <c r="E114" s="1">
        <v>300.0</v>
      </c>
      <c r="F114" s="2">
        <f t="shared" si="1"/>
        <v>0</v>
      </c>
      <c r="G114" s="1">
        <v>300.0</v>
      </c>
      <c r="H114" s="1">
        <v>300.0</v>
      </c>
      <c r="O114" s="2">
        <f t="shared" si="59"/>
        <v>2</v>
      </c>
      <c r="P114" s="2">
        <f t="shared" si="60"/>
        <v>2</v>
      </c>
      <c r="R114" s="2">
        <f t="shared" si="61"/>
        <v>1</v>
      </c>
    </row>
    <row r="115">
      <c r="A115" s="1" t="s">
        <v>257</v>
      </c>
      <c r="B115" s="1" t="s">
        <v>258</v>
      </c>
      <c r="C115" s="1" t="s">
        <v>259</v>
      </c>
      <c r="D115" s="1">
        <v>20.0</v>
      </c>
      <c r="E115" s="1">
        <v>34.0</v>
      </c>
      <c r="F115" s="2">
        <f t="shared" si="1"/>
        <v>0</v>
      </c>
      <c r="G115" s="1">
        <v>20.0</v>
      </c>
      <c r="H115" s="1">
        <v>34.0</v>
      </c>
      <c r="O115" s="2">
        <f t="shared" si="59"/>
        <v>2</v>
      </c>
      <c r="P115" s="2">
        <f t="shared" si="60"/>
        <v>2</v>
      </c>
      <c r="R115" s="2">
        <f t="shared" si="61"/>
        <v>1</v>
      </c>
    </row>
    <row r="116" hidden="1">
      <c r="A116" s="1" t="s">
        <v>260</v>
      </c>
      <c r="D116" s="1">
        <v>-1.0</v>
      </c>
      <c r="E116" s="1">
        <v>-1.0</v>
      </c>
      <c r="F116" s="2">
        <f t="shared" si="1"/>
        <v>1</v>
      </c>
    </row>
    <row r="117">
      <c r="A117" s="1" t="s">
        <v>261</v>
      </c>
      <c r="B117" s="1" t="s">
        <v>262</v>
      </c>
      <c r="C117" s="1" t="s">
        <v>263</v>
      </c>
      <c r="D117" s="1">
        <v>85.0</v>
      </c>
      <c r="E117" s="1">
        <v>300.0</v>
      </c>
      <c r="F117" s="2">
        <f t="shared" si="1"/>
        <v>0</v>
      </c>
      <c r="G117" s="1">
        <v>85.0</v>
      </c>
      <c r="H117" s="1">
        <v>300.0</v>
      </c>
      <c r="O117" s="2">
        <f t="shared" ref="O117:O121" si="62">LEN(C117) - LEN(SUBSTITUTE(C117, ";", "")) + 1</f>
        <v>15</v>
      </c>
      <c r="P117" s="2">
        <f t="shared" ref="P117:P121" si="63">LEN(B117) - LEN(SUBSTITUTE(B117, ";", "")) + 1</f>
        <v>16</v>
      </c>
      <c r="R117" s="2">
        <f t="shared" ref="R117:R121" si="64">IF(B117 = C117, 0, 1)</f>
        <v>1</v>
      </c>
    </row>
    <row r="118">
      <c r="A118" s="1" t="s">
        <v>264</v>
      </c>
      <c r="B118" s="1" t="s">
        <v>265</v>
      </c>
      <c r="C118" s="1" t="s">
        <v>265</v>
      </c>
      <c r="D118" s="1">
        <v>120.0</v>
      </c>
      <c r="E118" s="1">
        <v>120.0</v>
      </c>
      <c r="F118" s="2">
        <f t="shared" si="1"/>
        <v>1</v>
      </c>
      <c r="G118" s="1">
        <v>120.0</v>
      </c>
      <c r="H118" s="1">
        <v>120.0</v>
      </c>
      <c r="O118" s="2">
        <f t="shared" si="62"/>
        <v>1</v>
      </c>
      <c r="P118" s="2">
        <f t="shared" si="63"/>
        <v>1</v>
      </c>
      <c r="R118" s="2">
        <f t="shared" si="64"/>
        <v>0</v>
      </c>
    </row>
    <row r="119">
      <c r="A119" s="1" t="s">
        <v>266</v>
      </c>
      <c r="B119" s="1" t="s">
        <v>267</v>
      </c>
      <c r="C119" s="1" t="s">
        <v>268</v>
      </c>
      <c r="D119" s="1">
        <v>55.0</v>
      </c>
      <c r="E119" s="1">
        <v>300.0</v>
      </c>
      <c r="F119" s="2">
        <f t="shared" si="1"/>
        <v>0</v>
      </c>
      <c r="G119" s="1">
        <v>55.0</v>
      </c>
      <c r="H119" s="1">
        <v>300.0</v>
      </c>
      <c r="O119" s="2">
        <f t="shared" si="62"/>
        <v>16</v>
      </c>
      <c r="P119" s="2">
        <f t="shared" si="63"/>
        <v>16</v>
      </c>
      <c r="R119" s="2">
        <f t="shared" si="64"/>
        <v>1</v>
      </c>
    </row>
    <row r="120">
      <c r="A120" s="1" t="s">
        <v>269</v>
      </c>
      <c r="B120" s="1" t="s">
        <v>117</v>
      </c>
      <c r="C120" s="1" t="s">
        <v>270</v>
      </c>
      <c r="D120" s="1">
        <v>300.0</v>
      </c>
      <c r="E120" s="1">
        <v>300.0</v>
      </c>
      <c r="F120" s="2">
        <f t="shared" si="1"/>
        <v>0</v>
      </c>
      <c r="G120" s="1">
        <v>300.0</v>
      </c>
      <c r="H120" s="1">
        <v>300.0</v>
      </c>
      <c r="O120" s="2">
        <f t="shared" si="62"/>
        <v>1</v>
      </c>
      <c r="P120" s="2">
        <f t="shared" si="63"/>
        <v>1</v>
      </c>
      <c r="R120" s="2">
        <f t="shared" si="64"/>
        <v>1</v>
      </c>
    </row>
    <row r="121">
      <c r="A121" s="1" t="s">
        <v>271</v>
      </c>
      <c r="B121" s="1" t="s">
        <v>272</v>
      </c>
      <c r="C121" s="1" t="s">
        <v>273</v>
      </c>
      <c r="D121" s="1">
        <v>900.0</v>
      </c>
      <c r="E121" s="1">
        <v>900.0</v>
      </c>
      <c r="F121" s="2">
        <f t="shared" si="1"/>
        <v>0</v>
      </c>
      <c r="G121" s="1">
        <v>900.0</v>
      </c>
      <c r="H121" s="1">
        <v>900.0</v>
      </c>
      <c r="O121" s="2">
        <f t="shared" si="62"/>
        <v>3</v>
      </c>
      <c r="P121" s="2">
        <f t="shared" si="63"/>
        <v>3</v>
      </c>
      <c r="R121" s="2">
        <f t="shared" si="64"/>
        <v>1</v>
      </c>
    </row>
    <row r="122" hidden="1">
      <c r="A122" s="1" t="s">
        <v>274</v>
      </c>
      <c r="D122" s="1">
        <v>-1.0</v>
      </c>
      <c r="E122" s="1">
        <v>-1.0</v>
      </c>
      <c r="F122" s="2">
        <f t="shared" si="1"/>
        <v>1</v>
      </c>
    </row>
    <row r="123">
      <c r="A123" s="1" t="s">
        <v>275</v>
      </c>
      <c r="B123" s="1" t="s">
        <v>276</v>
      </c>
      <c r="C123" s="1" t="s">
        <v>276</v>
      </c>
      <c r="D123" s="1">
        <v>60.0</v>
      </c>
      <c r="E123" s="1">
        <v>60.0</v>
      </c>
      <c r="F123" s="2">
        <f t="shared" si="1"/>
        <v>1</v>
      </c>
      <c r="G123" s="1">
        <v>60.0</v>
      </c>
      <c r="H123" s="1">
        <v>60.0</v>
      </c>
      <c r="O123" s="2">
        <f t="shared" ref="O123:O125" si="65">LEN(C123) - LEN(SUBSTITUTE(C123, ";", "")) + 1</f>
        <v>1</v>
      </c>
      <c r="P123" s="2">
        <f t="shared" ref="P123:P125" si="66">LEN(B123) - LEN(SUBSTITUTE(B123, ";", "")) + 1</f>
        <v>1</v>
      </c>
      <c r="R123" s="2">
        <f t="shared" ref="R123:R125" si="67">IF(B123 = C123, 0, 1)</f>
        <v>0</v>
      </c>
    </row>
    <row r="124">
      <c r="A124" s="1" t="s">
        <v>277</v>
      </c>
      <c r="B124" s="1" t="s">
        <v>258</v>
      </c>
      <c r="C124" s="1" t="s">
        <v>24</v>
      </c>
      <c r="D124" s="1">
        <v>3600.0</v>
      </c>
      <c r="E124" s="1">
        <v>901.0</v>
      </c>
      <c r="F124" s="2">
        <f t="shared" si="1"/>
        <v>0</v>
      </c>
      <c r="G124" s="1">
        <v>3600.0</v>
      </c>
      <c r="H124" s="1">
        <v>901.0</v>
      </c>
      <c r="O124" s="2">
        <f t="shared" si="65"/>
        <v>2</v>
      </c>
      <c r="P124" s="2">
        <f t="shared" si="66"/>
        <v>2</v>
      </c>
      <c r="R124" s="2">
        <f t="shared" si="67"/>
        <v>1</v>
      </c>
    </row>
    <row r="125">
      <c r="A125" s="1" t="s">
        <v>278</v>
      </c>
      <c r="B125" s="1" t="s">
        <v>279</v>
      </c>
      <c r="C125" s="1" t="s">
        <v>280</v>
      </c>
      <c r="D125" s="1">
        <v>120.0</v>
      </c>
      <c r="E125" s="1">
        <v>120.0</v>
      </c>
      <c r="F125" s="2">
        <f t="shared" si="1"/>
        <v>0</v>
      </c>
      <c r="G125" s="1">
        <v>120.0</v>
      </c>
      <c r="H125" s="1">
        <v>120.0</v>
      </c>
      <c r="O125" s="2">
        <f t="shared" si="65"/>
        <v>7</v>
      </c>
      <c r="P125" s="2">
        <f t="shared" si="66"/>
        <v>12</v>
      </c>
      <c r="R125" s="2">
        <f t="shared" si="67"/>
        <v>1</v>
      </c>
    </row>
    <row r="126" hidden="1">
      <c r="A126" s="1" t="s">
        <v>281</v>
      </c>
      <c r="D126" s="1">
        <v>-1.0</v>
      </c>
      <c r="E126" s="1">
        <v>-1.0</v>
      </c>
      <c r="F126" s="2">
        <f t="shared" si="1"/>
        <v>1</v>
      </c>
    </row>
    <row r="127">
      <c r="A127" s="1" t="s">
        <v>282</v>
      </c>
      <c r="B127" s="1" t="s">
        <v>283</v>
      </c>
      <c r="C127" s="1" t="s">
        <v>283</v>
      </c>
      <c r="D127" s="1">
        <v>900.0</v>
      </c>
      <c r="E127" s="1">
        <v>900.0</v>
      </c>
      <c r="F127" s="2">
        <f t="shared" si="1"/>
        <v>1</v>
      </c>
      <c r="G127" s="1">
        <v>900.0</v>
      </c>
      <c r="H127" s="1">
        <v>900.0</v>
      </c>
      <c r="O127" s="2">
        <f>LEN(C127) - LEN(SUBSTITUTE(C127, ";", "")) + 1</f>
        <v>1</v>
      </c>
      <c r="P127" s="2">
        <f>LEN(B127) - LEN(SUBSTITUTE(B127, ";", "")) + 1</f>
        <v>1</v>
      </c>
      <c r="R127" s="2">
        <f>IF(B127 = C127, 0, 1)</f>
        <v>0</v>
      </c>
    </row>
    <row r="128" hidden="1">
      <c r="A128" s="1" t="s">
        <v>284</v>
      </c>
      <c r="D128" s="1">
        <v>-1.0</v>
      </c>
      <c r="E128" s="1">
        <v>-1.0</v>
      </c>
      <c r="F128" s="2">
        <f t="shared" si="1"/>
        <v>1</v>
      </c>
    </row>
    <row r="129">
      <c r="A129" s="1" t="s">
        <v>285</v>
      </c>
      <c r="B129" s="1" t="s">
        <v>286</v>
      </c>
      <c r="C129" s="1" t="s">
        <v>287</v>
      </c>
      <c r="D129" s="1">
        <v>72859.0</v>
      </c>
      <c r="E129" s="1">
        <v>17454.0</v>
      </c>
      <c r="F129" s="2">
        <f t="shared" si="1"/>
        <v>0</v>
      </c>
      <c r="G129" s="1">
        <v>72859.0</v>
      </c>
      <c r="H129" s="1">
        <v>17454.0</v>
      </c>
      <c r="O129" s="2">
        <f t="shared" ref="O129:O130" si="68">LEN(C129) - LEN(SUBSTITUTE(C129, ";", "")) + 1</f>
        <v>2</v>
      </c>
      <c r="P129" s="2">
        <f t="shared" ref="P129:P130" si="69">LEN(B129) - LEN(SUBSTITUTE(B129, ";", "")) + 1</f>
        <v>2</v>
      </c>
      <c r="R129" s="2">
        <f t="shared" ref="R129:R130" si="70">IF(B129 = C129, 0, 1)</f>
        <v>1</v>
      </c>
    </row>
    <row r="130">
      <c r="A130" s="1" t="s">
        <v>288</v>
      </c>
      <c r="B130" s="1" t="s">
        <v>289</v>
      </c>
      <c r="C130" s="1" t="s">
        <v>289</v>
      </c>
      <c r="D130" s="1">
        <v>300.0</v>
      </c>
      <c r="E130" s="1">
        <v>195.0</v>
      </c>
      <c r="F130" s="2">
        <f t="shared" si="1"/>
        <v>1</v>
      </c>
      <c r="G130" s="1">
        <v>300.0</v>
      </c>
      <c r="H130" s="1">
        <v>195.0</v>
      </c>
      <c r="O130" s="2">
        <f t="shared" si="68"/>
        <v>2</v>
      </c>
      <c r="P130" s="2">
        <f t="shared" si="69"/>
        <v>2</v>
      </c>
      <c r="R130" s="2">
        <f t="shared" si="70"/>
        <v>0</v>
      </c>
    </row>
    <row r="131" hidden="1">
      <c r="A131" s="1" t="s">
        <v>290</v>
      </c>
      <c r="D131" s="1">
        <v>-1.0</v>
      </c>
      <c r="E131" s="1">
        <v>-1.0</v>
      </c>
      <c r="F131" s="2">
        <f t="shared" si="1"/>
        <v>1</v>
      </c>
    </row>
    <row r="132">
      <c r="A132" s="1" t="s">
        <v>291</v>
      </c>
      <c r="B132" s="1" t="s">
        <v>292</v>
      </c>
      <c r="C132" s="1" t="s">
        <v>293</v>
      </c>
      <c r="D132" s="1">
        <v>60.0</v>
      </c>
      <c r="E132" s="1">
        <v>60.0</v>
      </c>
      <c r="F132" s="2">
        <f t="shared" si="1"/>
        <v>0</v>
      </c>
      <c r="G132" s="1">
        <v>60.0</v>
      </c>
      <c r="H132" s="1">
        <v>60.0</v>
      </c>
      <c r="O132" s="2">
        <f t="shared" ref="O132:O139" si="71">LEN(C132) - LEN(SUBSTITUTE(C132, ";", "")) + 1</f>
        <v>4</v>
      </c>
      <c r="P132" s="2">
        <f t="shared" ref="P132:P139" si="72">LEN(B132) - LEN(SUBSTITUTE(B132, ";", "")) + 1</f>
        <v>1</v>
      </c>
      <c r="R132" s="2">
        <f t="shared" ref="R132:R139" si="73">IF(B132 = C132, 0, 1)</f>
        <v>1</v>
      </c>
    </row>
    <row r="133">
      <c r="A133" s="1" t="s">
        <v>294</v>
      </c>
      <c r="B133" s="1" t="s">
        <v>295</v>
      </c>
      <c r="C133" s="1" t="s">
        <v>296</v>
      </c>
      <c r="D133" s="1">
        <v>215.0</v>
      </c>
      <c r="E133" s="1">
        <v>300.0</v>
      </c>
      <c r="F133" s="2">
        <f t="shared" si="1"/>
        <v>0</v>
      </c>
      <c r="G133" s="1">
        <v>215.0</v>
      </c>
      <c r="H133" s="1">
        <v>300.0</v>
      </c>
      <c r="O133" s="2">
        <f t="shared" si="71"/>
        <v>16</v>
      </c>
      <c r="P133" s="2">
        <f t="shared" si="72"/>
        <v>16</v>
      </c>
      <c r="R133" s="2">
        <f t="shared" si="73"/>
        <v>1</v>
      </c>
    </row>
    <row r="134">
      <c r="A134" s="1" t="s">
        <v>297</v>
      </c>
      <c r="B134" s="1" t="s">
        <v>298</v>
      </c>
      <c r="C134" s="1" t="s">
        <v>299</v>
      </c>
      <c r="D134" s="1">
        <v>600.0</v>
      </c>
      <c r="E134" s="1">
        <v>600.0</v>
      </c>
      <c r="F134" s="2">
        <f t="shared" si="1"/>
        <v>0</v>
      </c>
      <c r="G134" s="1">
        <v>600.0</v>
      </c>
      <c r="H134" s="1">
        <v>600.0</v>
      </c>
      <c r="O134" s="2">
        <f t="shared" si="71"/>
        <v>4</v>
      </c>
      <c r="P134" s="2">
        <f t="shared" si="72"/>
        <v>4</v>
      </c>
      <c r="R134" s="2">
        <f t="shared" si="73"/>
        <v>1</v>
      </c>
    </row>
    <row r="135">
      <c r="A135" s="1" t="s">
        <v>300</v>
      </c>
      <c r="B135" s="1" t="s">
        <v>301</v>
      </c>
      <c r="C135" s="1" t="s">
        <v>301</v>
      </c>
      <c r="D135" s="1">
        <v>60.0</v>
      </c>
      <c r="E135" s="1">
        <v>55.0</v>
      </c>
      <c r="F135" s="2">
        <f t="shared" si="1"/>
        <v>1</v>
      </c>
      <c r="G135" s="1">
        <v>60.0</v>
      </c>
      <c r="H135" s="1">
        <v>55.0</v>
      </c>
      <c r="O135" s="2">
        <f t="shared" si="71"/>
        <v>1</v>
      </c>
      <c r="P135" s="2">
        <f t="shared" si="72"/>
        <v>1</v>
      </c>
      <c r="R135" s="2">
        <f t="shared" si="73"/>
        <v>0</v>
      </c>
    </row>
    <row r="136">
      <c r="A136" s="1" t="s">
        <v>302</v>
      </c>
      <c r="B136" s="1" t="s">
        <v>303</v>
      </c>
      <c r="C136" s="1" t="s">
        <v>303</v>
      </c>
      <c r="D136" s="1">
        <v>360.0</v>
      </c>
      <c r="E136" s="1">
        <v>360.0</v>
      </c>
      <c r="F136" s="2">
        <f t="shared" si="1"/>
        <v>1</v>
      </c>
      <c r="G136" s="1">
        <v>360.0</v>
      </c>
      <c r="H136" s="1">
        <v>360.0</v>
      </c>
      <c r="O136" s="2">
        <f t="shared" si="71"/>
        <v>1</v>
      </c>
      <c r="P136" s="2">
        <f t="shared" si="72"/>
        <v>1</v>
      </c>
      <c r="R136" s="2">
        <f t="shared" si="73"/>
        <v>0</v>
      </c>
    </row>
    <row r="137">
      <c r="A137" s="1" t="s">
        <v>304</v>
      </c>
      <c r="B137" s="1" t="s">
        <v>305</v>
      </c>
      <c r="C137" s="1" t="s">
        <v>305</v>
      </c>
      <c r="D137" s="1">
        <v>300.0</v>
      </c>
      <c r="E137" s="1">
        <v>283.0</v>
      </c>
      <c r="F137" s="2">
        <f t="shared" si="1"/>
        <v>1</v>
      </c>
      <c r="G137" s="1">
        <v>300.0</v>
      </c>
      <c r="H137" s="1">
        <v>283.0</v>
      </c>
      <c r="O137" s="2">
        <f t="shared" si="71"/>
        <v>1</v>
      </c>
      <c r="P137" s="2">
        <f t="shared" si="72"/>
        <v>1</v>
      </c>
      <c r="R137" s="2">
        <f t="shared" si="73"/>
        <v>0</v>
      </c>
    </row>
    <row r="138">
      <c r="A138" s="1" t="s">
        <v>306</v>
      </c>
      <c r="B138" s="1" t="s">
        <v>307</v>
      </c>
      <c r="C138" s="1" t="s">
        <v>308</v>
      </c>
      <c r="D138" s="1">
        <v>39.0</v>
      </c>
      <c r="E138" s="1">
        <v>300.0</v>
      </c>
      <c r="F138" s="2">
        <f t="shared" si="1"/>
        <v>0</v>
      </c>
      <c r="G138" s="1">
        <v>39.0</v>
      </c>
      <c r="H138" s="1">
        <v>300.0</v>
      </c>
      <c r="O138" s="2">
        <f t="shared" si="71"/>
        <v>16</v>
      </c>
      <c r="P138" s="2">
        <f t="shared" si="72"/>
        <v>16</v>
      </c>
      <c r="R138" s="2">
        <f t="shared" si="73"/>
        <v>1</v>
      </c>
    </row>
    <row r="139">
      <c r="A139" s="1" t="s">
        <v>309</v>
      </c>
      <c r="B139" s="1" t="s">
        <v>310</v>
      </c>
      <c r="C139" s="1" t="s">
        <v>310</v>
      </c>
      <c r="D139" s="1">
        <v>30.0</v>
      </c>
      <c r="E139" s="1">
        <v>30.0</v>
      </c>
      <c r="F139" s="2">
        <f t="shared" si="1"/>
        <v>1</v>
      </c>
      <c r="G139" s="1">
        <v>30.0</v>
      </c>
      <c r="H139" s="1">
        <v>30.0</v>
      </c>
      <c r="O139" s="2">
        <f t="shared" si="71"/>
        <v>1</v>
      </c>
      <c r="P139" s="2">
        <f t="shared" si="72"/>
        <v>1</v>
      </c>
      <c r="R139" s="2">
        <f t="shared" si="73"/>
        <v>0</v>
      </c>
    </row>
    <row r="140" hidden="1">
      <c r="A140" s="1" t="s">
        <v>311</v>
      </c>
      <c r="D140" s="1">
        <v>-1.0</v>
      </c>
      <c r="E140" s="1">
        <v>-1.0</v>
      </c>
      <c r="F140" s="2">
        <f t="shared" si="1"/>
        <v>1</v>
      </c>
    </row>
    <row r="141">
      <c r="A141" s="1" t="s">
        <v>312</v>
      </c>
      <c r="B141" s="1" t="s">
        <v>313</v>
      </c>
      <c r="C141" s="1" t="s">
        <v>314</v>
      </c>
      <c r="D141" s="1">
        <v>300.0</v>
      </c>
      <c r="E141" s="1">
        <v>300.0</v>
      </c>
      <c r="F141" s="2">
        <f t="shared" si="1"/>
        <v>0</v>
      </c>
      <c r="G141" s="1">
        <v>300.0</v>
      </c>
      <c r="H141" s="1">
        <v>300.0</v>
      </c>
      <c r="O141" s="2">
        <f t="shared" ref="O141:O142" si="74">LEN(C141) - LEN(SUBSTITUTE(C141, ";", "")) + 1</f>
        <v>3</v>
      </c>
      <c r="P141" s="2">
        <f t="shared" ref="P141:P142" si="75">LEN(B141) - LEN(SUBSTITUTE(B141, ";", "")) + 1</f>
        <v>3</v>
      </c>
      <c r="R141" s="2">
        <f t="shared" ref="R141:R142" si="76">IF(B141 = C141, 0, 1)</f>
        <v>1</v>
      </c>
    </row>
    <row r="142">
      <c r="A142" s="1" t="s">
        <v>315</v>
      </c>
      <c r="B142" s="1" t="s">
        <v>143</v>
      </c>
      <c r="C142" s="1" t="s">
        <v>73</v>
      </c>
      <c r="D142" s="1">
        <v>300.0</v>
      </c>
      <c r="E142" s="1">
        <v>300.0</v>
      </c>
      <c r="F142" s="2">
        <f t="shared" si="1"/>
        <v>0</v>
      </c>
      <c r="G142" s="1">
        <v>300.0</v>
      </c>
      <c r="H142" s="1">
        <v>300.0</v>
      </c>
      <c r="O142" s="2">
        <f t="shared" si="74"/>
        <v>1</v>
      </c>
      <c r="P142" s="2">
        <f t="shared" si="75"/>
        <v>1</v>
      </c>
      <c r="R142" s="2">
        <f t="shared" si="76"/>
        <v>1</v>
      </c>
    </row>
    <row r="143" hidden="1">
      <c r="A143" s="1" t="s">
        <v>316</v>
      </c>
      <c r="D143" s="1">
        <v>-1.0</v>
      </c>
      <c r="E143" s="1">
        <v>-1.0</v>
      </c>
      <c r="F143" s="2">
        <f t="shared" si="1"/>
        <v>1</v>
      </c>
    </row>
    <row r="144">
      <c r="A144" s="1" t="s">
        <v>317</v>
      </c>
      <c r="B144" s="1" t="s">
        <v>318</v>
      </c>
      <c r="C144" s="1" t="s">
        <v>318</v>
      </c>
      <c r="D144" s="1">
        <v>300.0</v>
      </c>
      <c r="E144" s="1">
        <v>300.0</v>
      </c>
      <c r="F144" s="2">
        <f t="shared" si="1"/>
        <v>1</v>
      </c>
      <c r="G144" s="1">
        <v>300.0</v>
      </c>
      <c r="H144" s="1">
        <v>300.0</v>
      </c>
      <c r="O144" s="2">
        <f>LEN(C144) - LEN(SUBSTITUTE(C144, ";", "")) + 1</f>
        <v>2</v>
      </c>
      <c r="P144" s="2">
        <f>LEN(B144) - LEN(SUBSTITUTE(B144, ";", "")) + 1</f>
        <v>2</v>
      </c>
      <c r="R144" s="2">
        <f>IF(B144 = C144, 0, 1)</f>
        <v>0</v>
      </c>
    </row>
    <row r="145" hidden="1">
      <c r="A145" s="1" t="s">
        <v>319</v>
      </c>
      <c r="D145" s="1">
        <v>-1.0</v>
      </c>
      <c r="E145" s="1">
        <v>-1.0</v>
      </c>
      <c r="F145" s="2">
        <f t="shared" si="1"/>
        <v>1</v>
      </c>
    </row>
    <row r="146" hidden="1">
      <c r="A146" s="1" t="s">
        <v>320</v>
      </c>
      <c r="D146" s="1">
        <v>-1.0</v>
      </c>
      <c r="E146" s="1">
        <v>-1.0</v>
      </c>
      <c r="F146" s="2">
        <f t="shared" si="1"/>
        <v>1</v>
      </c>
    </row>
    <row r="147" hidden="1">
      <c r="A147" s="1" t="s">
        <v>321</v>
      </c>
      <c r="D147" s="1">
        <v>-1.0</v>
      </c>
      <c r="E147" s="1">
        <v>-1.0</v>
      </c>
      <c r="F147" s="2">
        <f t="shared" si="1"/>
        <v>1</v>
      </c>
    </row>
    <row r="148">
      <c r="A148" s="1" t="s">
        <v>322</v>
      </c>
      <c r="B148" s="1" t="s">
        <v>323</v>
      </c>
      <c r="C148" s="1" t="s">
        <v>324</v>
      </c>
      <c r="D148" s="1">
        <v>60.0</v>
      </c>
      <c r="E148" s="1">
        <v>60.0</v>
      </c>
      <c r="F148" s="2">
        <f t="shared" si="1"/>
        <v>0</v>
      </c>
      <c r="G148" s="1">
        <v>60.0</v>
      </c>
      <c r="H148" s="1">
        <v>60.0</v>
      </c>
      <c r="O148" s="2">
        <f t="shared" ref="O148:O152" si="77">LEN(C148) - LEN(SUBSTITUTE(C148, ";", "")) + 1</f>
        <v>4</v>
      </c>
      <c r="P148" s="2">
        <f t="shared" ref="P148:P152" si="78">LEN(B148) - LEN(SUBSTITUTE(B148, ";", "")) + 1</f>
        <v>4</v>
      </c>
      <c r="R148" s="2">
        <f t="shared" ref="R148:R152" si="79">IF(B148 = C148, 0, 1)</f>
        <v>1</v>
      </c>
    </row>
    <row r="149">
      <c r="A149" s="1" t="s">
        <v>325</v>
      </c>
      <c r="B149" s="1" t="s">
        <v>326</v>
      </c>
      <c r="C149" s="1" t="s">
        <v>327</v>
      </c>
      <c r="D149" s="1">
        <v>20.0</v>
      </c>
      <c r="E149" s="1">
        <v>20.0</v>
      </c>
      <c r="F149" s="2">
        <f t="shared" si="1"/>
        <v>0</v>
      </c>
      <c r="G149" s="1">
        <v>20.0</v>
      </c>
      <c r="H149" s="1">
        <v>20.0</v>
      </c>
      <c r="O149" s="2">
        <f t="shared" si="77"/>
        <v>2</v>
      </c>
      <c r="P149" s="2">
        <f t="shared" si="78"/>
        <v>2</v>
      </c>
      <c r="R149" s="2">
        <f t="shared" si="79"/>
        <v>1</v>
      </c>
    </row>
    <row r="150">
      <c r="A150" s="1" t="s">
        <v>328</v>
      </c>
      <c r="B150" s="1" t="s">
        <v>329</v>
      </c>
      <c r="C150" s="1" t="s">
        <v>108</v>
      </c>
      <c r="D150" s="1">
        <v>183.0</v>
      </c>
      <c r="E150" s="1">
        <v>300.0</v>
      </c>
      <c r="F150" s="2">
        <f t="shared" si="1"/>
        <v>0</v>
      </c>
      <c r="G150" s="1">
        <v>183.0</v>
      </c>
      <c r="H150" s="1">
        <v>300.0</v>
      </c>
      <c r="O150" s="2">
        <f t="shared" si="77"/>
        <v>1</v>
      </c>
      <c r="P150" s="2">
        <f t="shared" si="78"/>
        <v>1</v>
      </c>
      <c r="R150" s="2">
        <f t="shared" si="79"/>
        <v>1</v>
      </c>
    </row>
    <row r="151">
      <c r="A151" s="1" t="s">
        <v>330</v>
      </c>
      <c r="B151" s="1" t="s">
        <v>331</v>
      </c>
      <c r="C151" s="1" t="s">
        <v>332</v>
      </c>
      <c r="D151" s="1">
        <v>284.0</v>
      </c>
      <c r="E151" s="1">
        <v>300.0</v>
      </c>
      <c r="F151" s="2">
        <f t="shared" si="1"/>
        <v>0</v>
      </c>
      <c r="G151" s="1">
        <v>284.0</v>
      </c>
      <c r="H151" s="1">
        <v>300.0</v>
      </c>
      <c r="O151" s="2">
        <f t="shared" si="77"/>
        <v>16</v>
      </c>
      <c r="P151" s="2">
        <f t="shared" si="78"/>
        <v>16</v>
      </c>
      <c r="R151" s="2">
        <f t="shared" si="79"/>
        <v>1</v>
      </c>
    </row>
    <row r="152">
      <c r="A152" s="1" t="s">
        <v>333</v>
      </c>
      <c r="B152" s="1" t="s">
        <v>334</v>
      </c>
      <c r="C152" s="1" t="s">
        <v>335</v>
      </c>
      <c r="D152" s="1">
        <v>60.0</v>
      </c>
      <c r="E152" s="1">
        <v>28.0</v>
      </c>
      <c r="F152" s="2">
        <f t="shared" si="1"/>
        <v>0</v>
      </c>
      <c r="G152" s="1">
        <v>60.0</v>
      </c>
      <c r="H152" s="1">
        <v>28.0</v>
      </c>
      <c r="O152" s="2">
        <f t="shared" si="77"/>
        <v>4</v>
      </c>
      <c r="P152" s="2">
        <f t="shared" si="78"/>
        <v>4</v>
      </c>
      <c r="R152" s="2">
        <f t="shared" si="79"/>
        <v>1</v>
      </c>
    </row>
    <row r="153" hidden="1">
      <c r="A153" s="1" t="s">
        <v>336</v>
      </c>
      <c r="D153" s="1">
        <v>-1.0</v>
      </c>
      <c r="E153" s="1">
        <v>-1.0</v>
      </c>
      <c r="F153" s="2">
        <f t="shared" si="1"/>
        <v>1</v>
      </c>
    </row>
    <row r="154">
      <c r="A154" s="1" t="s">
        <v>337</v>
      </c>
      <c r="B154" s="1" t="s">
        <v>338</v>
      </c>
      <c r="C154" s="1" t="s">
        <v>338</v>
      </c>
      <c r="D154" s="1">
        <v>150.0</v>
      </c>
      <c r="E154" s="1">
        <v>150.0</v>
      </c>
      <c r="F154" s="2">
        <f t="shared" si="1"/>
        <v>1</v>
      </c>
      <c r="G154" s="1">
        <v>150.0</v>
      </c>
      <c r="H154" s="1">
        <v>150.0</v>
      </c>
      <c r="O154" s="2">
        <f t="shared" ref="O154:O157" si="80">LEN(C154) - LEN(SUBSTITUTE(C154, ";", "")) + 1</f>
        <v>1</v>
      </c>
      <c r="P154" s="2">
        <f t="shared" ref="P154:P157" si="81">LEN(B154) - LEN(SUBSTITUTE(B154, ";", "")) + 1</f>
        <v>1</v>
      </c>
      <c r="R154" s="2">
        <f t="shared" ref="R154:R157" si="82">IF(B154 = C154, 0, 1)</f>
        <v>0</v>
      </c>
    </row>
    <row r="155">
      <c r="A155" s="1" t="s">
        <v>339</v>
      </c>
      <c r="B155" s="1" t="s">
        <v>340</v>
      </c>
      <c r="C155" s="1" t="s">
        <v>341</v>
      </c>
      <c r="D155" s="1">
        <v>42.0</v>
      </c>
      <c r="E155" s="1">
        <v>35.0</v>
      </c>
      <c r="F155" s="2">
        <f t="shared" si="1"/>
        <v>0</v>
      </c>
      <c r="G155" s="1">
        <v>42.0</v>
      </c>
      <c r="H155" s="1">
        <v>35.0</v>
      </c>
      <c r="O155" s="2">
        <f t="shared" si="80"/>
        <v>4</v>
      </c>
      <c r="P155" s="2">
        <f t="shared" si="81"/>
        <v>4</v>
      </c>
      <c r="R155" s="2">
        <f t="shared" si="82"/>
        <v>1</v>
      </c>
    </row>
    <row r="156">
      <c r="A156" s="1" t="s">
        <v>342</v>
      </c>
      <c r="B156" s="1" t="s">
        <v>343</v>
      </c>
      <c r="C156" s="1" t="s">
        <v>343</v>
      </c>
      <c r="D156" s="1">
        <v>20.0</v>
      </c>
      <c r="E156" s="1">
        <v>20.0</v>
      </c>
      <c r="F156" s="2">
        <f t="shared" si="1"/>
        <v>1</v>
      </c>
      <c r="G156" s="1">
        <v>20.0</v>
      </c>
      <c r="H156" s="1">
        <v>20.0</v>
      </c>
      <c r="O156" s="2">
        <f t="shared" si="80"/>
        <v>1</v>
      </c>
      <c r="P156" s="2">
        <f t="shared" si="81"/>
        <v>1</v>
      </c>
      <c r="R156" s="2">
        <f t="shared" si="82"/>
        <v>0</v>
      </c>
    </row>
    <row r="157">
      <c r="A157" s="1" t="s">
        <v>344</v>
      </c>
      <c r="B157" s="1" t="s">
        <v>345</v>
      </c>
      <c r="C157" s="1" t="s">
        <v>345</v>
      </c>
      <c r="D157" s="1">
        <v>900.0</v>
      </c>
      <c r="E157" s="1">
        <v>900.0</v>
      </c>
      <c r="F157" s="2">
        <f t="shared" si="1"/>
        <v>1</v>
      </c>
      <c r="G157" s="1">
        <v>900.0</v>
      </c>
      <c r="H157" s="1">
        <v>900.0</v>
      </c>
      <c r="O157" s="2">
        <f t="shared" si="80"/>
        <v>1</v>
      </c>
      <c r="P157" s="2">
        <f t="shared" si="81"/>
        <v>1</v>
      </c>
      <c r="R157" s="2">
        <f t="shared" si="82"/>
        <v>0</v>
      </c>
    </row>
    <row r="158" hidden="1">
      <c r="A158" s="1" t="s">
        <v>346</v>
      </c>
      <c r="D158" s="1">
        <v>-1.0</v>
      </c>
      <c r="E158" s="1">
        <v>-1.0</v>
      </c>
      <c r="F158" s="2">
        <f t="shared" si="1"/>
        <v>1</v>
      </c>
    </row>
    <row r="159">
      <c r="A159" s="1" t="s">
        <v>347</v>
      </c>
      <c r="B159" s="1" t="s">
        <v>348</v>
      </c>
      <c r="C159" s="1" t="s">
        <v>349</v>
      </c>
      <c r="D159" s="1">
        <v>139.0</v>
      </c>
      <c r="E159" s="1">
        <v>300.0</v>
      </c>
      <c r="F159" s="2">
        <f t="shared" si="1"/>
        <v>0</v>
      </c>
      <c r="G159" s="1">
        <v>139.0</v>
      </c>
      <c r="H159" s="1">
        <v>300.0</v>
      </c>
      <c r="O159" s="2">
        <f t="shared" ref="O159:O165" si="83">LEN(C159) - LEN(SUBSTITUTE(C159, ";", "")) + 1</f>
        <v>16</v>
      </c>
      <c r="P159" s="2">
        <f t="shared" ref="P159:P165" si="84">LEN(B159) - LEN(SUBSTITUTE(B159, ";", "")) + 1</f>
        <v>14</v>
      </c>
      <c r="R159" s="2">
        <f t="shared" ref="R159:R165" si="85">IF(B159 = C159, 0, 1)</f>
        <v>1</v>
      </c>
    </row>
    <row r="160">
      <c r="A160" s="1" t="s">
        <v>350</v>
      </c>
      <c r="B160" s="1" t="s">
        <v>351</v>
      </c>
      <c r="C160" s="1" t="s">
        <v>352</v>
      </c>
      <c r="D160" s="1">
        <v>60.0</v>
      </c>
      <c r="E160" s="1">
        <v>60.0</v>
      </c>
      <c r="F160" s="2">
        <f t="shared" si="1"/>
        <v>0</v>
      </c>
      <c r="G160" s="1">
        <v>60.0</v>
      </c>
      <c r="H160" s="1">
        <v>60.0</v>
      </c>
      <c r="O160" s="2">
        <f t="shared" si="83"/>
        <v>3</v>
      </c>
      <c r="P160" s="2">
        <f t="shared" si="84"/>
        <v>3</v>
      </c>
      <c r="R160" s="2">
        <f t="shared" si="85"/>
        <v>1</v>
      </c>
    </row>
    <row r="161">
      <c r="A161" s="1" t="s">
        <v>353</v>
      </c>
      <c r="B161" s="1" t="s">
        <v>354</v>
      </c>
      <c r="C161" s="1" t="s">
        <v>355</v>
      </c>
      <c r="D161" s="1">
        <v>240.0</v>
      </c>
      <c r="E161" s="1">
        <v>300.0</v>
      </c>
      <c r="F161" s="2">
        <f t="shared" si="1"/>
        <v>0</v>
      </c>
      <c r="G161" s="1">
        <v>240.0</v>
      </c>
      <c r="H161" s="1">
        <v>300.0</v>
      </c>
      <c r="O161" s="2">
        <f t="shared" si="83"/>
        <v>14</v>
      </c>
      <c r="P161" s="2">
        <f t="shared" si="84"/>
        <v>16</v>
      </c>
      <c r="R161" s="2">
        <f t="shared" si="85"/>
        <v>1</v>
      </c>
    </row>
    <row r="162">
      <c r="A162" s="1" t="s">
        <v>356</v>
      </c>
      <c r="B162" s="1" t="s">
        <v>357</v>
      </c>
      <c r="C162" s="1" t="s">
        <v>358</v>
      </c>
      <c r="D162" s="1">
        <v>300.0</v>
      </c>
      <c r="E162" s="1">
        <v>300.0</v>
      </c>
      <c r="F162" s="2">
        <f t="shared" si="1"/>
        <v>0</v>
      </c>
      <c r="G162" s="1">
        <v>300.0</v>
      </c>
      <c r="H162" s="1">
        <v>300.0</v>
      </c>
      <c r="O162" s="2">
        <f t="shared" si="83"/>
        <v>2</v>
      </c>
      <c r="P162" s="2">
        <f t="shared" si="84"/>
        <v>1</v>
      </c>
      <c r="R162" s="2">
        <f t="shared" si="85"/>
        <v>1</v>
      </c>
    </row>
    <row r="163">
      <c r="A163" s="1" t="s">
        <v>359</v>
      </c>
      <c r="B163" s="1" t="s">
        <v>360</v>
      </c>
      <c r="C163" s="1" t="s">
        <v>360</v>
      </c>
      <c r="D163" s="1">
        <v>300.0</v>
      </c>
      <c r="E163" s="1">
        <v>300.0</v>
      </c>
      <c r="F163" s="2">
        <f t="shared" si="1"/>
        <v>1</v>
      </c>
      <c r="G163" s="1">
        <v>300.0</v>
      </c>
      <c r="H163" s="1">
        <v>300.0</v>
      </c>
      <c r="O163" s="2">
        <f t="shared" si="83"/>
        <v>1</v>
      </c>
      <c r="P163" s="2">
        <f t="shared" si="84"/>
        <v>1</v>
      </c>
      <c r="R163" s="2">
        <f t="shared" si="85"/>
        <v>0</v>
      </c>
    </row>
    <row r="164">
      <c r="A164" s="1" t="s">
        <v>361</v>
      </c>
      <c r="B164" s="1" t="s">
        <v>362</v>
      </c>
      <c r="C164" s="1" t="s">
        <v>363</v>
      </c>
      <c r="D164" s="1">
        <v>300.0</v>
      </c>
      <c r="E164" s="1">
        <v>300.0</v>
      </c>
      <c r="F164" s="2">
        <f t="shared" si="1"/>
        <v>0</v>
      </c>
      <c r="G164" s="1">
        <v>300.0</v>
      </c>
      <c r="H164" s="1">
        <v>300.0</v>
      </c>
      <c r="O164" s="2">
        <f t="shared" si="83"/>
        <v>8</v>
      </c>
      <c r="P164" s="2">
        <f t="shared" si="84"/>
        <v>8</v>
      </c>
      <c r="R164" s="2">
        <f t="shared" si="85"/>
        <v>1</v>
      </c>
    </row>
    <row r="165">
      <c r="A165" s="1" t="s">
        <v>364</v>
      </c>
      <c r="B165" s="1" t="s">
        <v>365</v>
      </c>
      <c r="C165" s="1" t="s">
        <v>366</v>
      </c>
      <c r="D165" s="1">
        <v>112.0</v>
      </c>
      <c r="E165" s="1">
        <v>300.0</v>
      </c>
      <c r="F165" s="2">
        <f t="shared" si="1"/>
        <v>0</v>
      </c>
      <c r="G165" s="1">
        <v>112.0</v>
      </c>
      <c r="H165" s="1">
        <v>300.0</v>
      </c>
      <c r="O165" s="2">
        <f t="shared" si="83"/>
        <v>16</v>
      </c>
      <c r="P165" s="2">
        <f t="shared" si="84"/>
        <v>16</v>
      </c>
      <c r="R165" s="2">
        <f t="shared" si="85"/>
        <v>1</v>
      </c>
    </row>
    <row r="166" hidden="1">
      <c r="A166" s="1" t="s">
        <v>367</v>
      </c>
      <c r="D166" s="1">
        <v>-1.0</v>
      </c>
      <c r="E166" s="1">
        <v>-1.0</v>
      </c>
      <c r="F166" s="2">
        <f t="shared" si="1"/>
        <v>1</v>
      </c>
    </row>
    <row r="167">
      <c r="A167" s="1" t="s">
        <v>368</v>
      </c>
      <c r="B167" s="1" t="s">
        <v>369</v>
      </c>
      <c r="C167" s="1" t="s">
        <v>369</v>
      </c>
      <c r="D167" s="1">
        <v>3522.0</v>
      </c>
      <c r="E167" s="1">
        <v>3600.0</v>
      </c>
      <c r="F167" s="2">
        <f t="shared" si="1"/>
        <v>1</v>
      </c>
      <c r="G167" s="1">
        <v>3522.0</v>
      </c>
      <c r="H167" s="1">
        <v>3600.0</v>
      </c>
      <c r="O167" s="2">
        <f t="shared" ref="O167:O169" si="86">LEN(C167) - LEN(SUBSTITUTE(C167, ";", "")) + 1</f>
        <v>1</v>
      </c>
      <c r="P167" s="2">
        <f t="shared" ref="P167:P169" si="87">LEN(B167) - LEN(SUBSTITUTE(B167, ";", "")) + 1</f>
        <v>1</v>
      </c>
      <c r="R167" s="2">
        <f t="shared" ref="R167:R169" si="88">IF(B167 = C167, 0, 1)</f>
        <v>0</v>
      </c>
    </row>
    <row r="168">
      <c r="A168" s="1" t="s">
        <v>370</v>
      </c>
      <c r="B168" s="1" t="s">
        <v>371</v>
      </c>
      <c r="C168" s="1" t="s">
        <v>371</v>
      </c>
      <c r="D168" s="1">
        <v>600.0</v>
      </c>
      <c r="E168" s="1">
        <v>600.0</v>
      </c>
      <c r="F168" s="2">
        <f t="shared" si="1"/>
        <v>1</v>
      </c>
      <c r="G168" s="1">
        <v>600.0</v>
      </c>
      <c r="H168" s="1">
        <v>600.0</v>
      </c>
      <c r="O168" s="2">
        <f t="shared" si="86"/>
        <v>1</v>
      </c>
      <c r="P168" s="2">
        <f t="shared" si="87"/>
        <v>1</v>
      </c>
      <c r="R168" s="2">
        <f t="shared" si="88"/>
        <v>0</v>
      </c>
    </row>
    <row r="169">
      <c r="A169" s="1" t="s">
        <v>372</v>
      </c>
      <c r="B169" s="1" t="s">
        <v>373</v>
      </c>
      <c r="C169" s="1" t="s">
        <v>374</v>
      </c>
      <c r="D169" s="1">
        <v>300.0</v>
      </c>
      <c r="E169" s="1">
        <v>300.0</v>
      </c>
      <c r="F169" s="2">
        <f t="shared" si="1"/>
        <v>0</v>
      </c>
      <c r="G169" s="1">
        <v>300.0</v>
      </c>
      <c r="H169" s="1">
        <v>300.0</v>
      </c>
      <c r="O169" s="2">
        <f t="shared" si="86"/>
        <v>16</v>
      </c>
      <c r="P169" s="2">
        <f t="shared" si="87"/>
        <v>16</v>
      </c>
      <c r="R169" s="2">
        <f t="shared" si="88"/>
        <v>1</v>
      </c>
    </row>
    <row r="170" hidden="1">
      <c r="A170" s="1" t="s">
        <v>375</v>
      </c>
      <c r="D170" s="1">
        <v>-1.0</v>
      </c>
      <c r="E170" s="1">
        <v>-1.0</v>
      </c>
      <c r="F170" s="2">
        <f t="shared" si="1"/>
        <v>1</v>
      </c>
    </row>
    <row r="171" hidden="1">
      <c r="A171" s="1" t="s">
        <v>376</v>
      </c>
      <c r="D171" s="1">
        <v>-1.0</v>
      </c>
      <c r="E171" s="1">
        <v>-1.0</v>
      </c>
      <c r="F171" s="2">
        <f t="shared" si="1"/>
        <v>1</v>
      </c>
    </row>
    <row r="172">
      <c r="A172" s="1" t="s">
        <v>377</v>
      </c>
      <c r="B172" s="1" t="s">
        <v>378</v>
      </c>
      <c r="C172" s="1" t="s">
        <v>379</v>
      </c>
      <c r="D172" s="1">
        <v>3600.0</v>
      </c>
      <c r="E172" s="1">
        <v>3600.0</v>
      </c>
      <c r="F172" s="2">
        <f t="shared" si="1"/>
        <v>0</v>
      </c>
      <c r="G172" s="1">
        <v>3600.0</v>
      </c>
      <c r="H172" s="1">
        <v>3600.0</v>
      </c>
      <c r="O172" s="2">
        <f>LEN(C172) - LEN(SUBSTITUTE(C172, ";", "")) + 1</f>
        <v>2</v>
      </c>
      <c r="P172" s="2">
        <f>LEN(B172) - LEN(SUBSTITUTE(B172, ";", "")) + 1</f>
        <v>2</v>
      </c>
      <c r="R172" s="2">
        <f>IF(B172 = C172, 0, 1)</f>
        <v>1</v>
      </c>
    </row>
    <row r="173" hidden="1">
      <c r="A173" s="1" t="s">
        <v>380</v>
      </c>
      <c r="D173" s="1">
        <v>-1.0</v>
      </c>
      <c r="E173" s="1">
        <v>-1.0</v>
      </c>
      <c r="F173" s="2">
        <f t="shared" si="1"/>
        <v>1</v>
      </c>
    </row>
    <row r="174">
      <c r="A174" s="1" t="s">
        <v>381</v>
      </c>
      <c r="B174" s="1" t="s">
        <v>382</v>
      </c>
      <c r="C174" s="1" t="s">
        <v>383</v>
      </c>
      <c r="D174" s="1">
        <v>3600.0</v>
      </c>
      <c r="E174" s="1">
        <v>1427.0</v>
      </c>
      <c r="F174" s="2">
        <f t="shared" si="1"/>
        <v>0</v>
      </c>
      <c r="G174" s="1">
        <v>3600.0</v>
      </c>
      <c r="H174" s="1">
        <v>1427.0</v>
      </c>
      <c r="O174" s="2">
        <f t="shared" ref="O174:O176" si="89">LEN(C174) - LEN(SUBSTITUTE(C174, ";", "")) + 1</f>
        <v>4</v>
      </c>
      <c r="P174" s="2">
        <f t="shared" ref="P174:P176" si="90">LEN(B174) - LEN(SUBSTITUTE(B174, ";", "")) + 1</f>
        <v>4</v>
      </c>
      <c r="R174" s="2">
        <f t="shared" ref="R174:R176" si="91">IF(B174 = C174, 0, 1)</f>
        <v>1</v>
      </c>
    </row>
    <row r="175">
      <c r="A175" s="1" t="s">
        <v>384</v>
      </c>
      <c r="B175" s="1" t="s">
        <v>385</v>
      </c>
      <c r="C175" s="1" t="s">
        <v>385</v>
      </c>
      <c r="D175" s="1">
        <v>600.0</v>
      </c>
      <c r="E175" s="1">
        <v>600.0</v>
      </c>
      <c r="F175" s="2">
        <f t="shared" si="1"/>
        <v>1</v>
      </c>
      <c r="G175" s="1">
        <v>600.0</v>
      </c>
      <c r="H175" s="1">
        <v>600.0</v>
      </c>
      <c r="O175" s="2">
        <f t="shared" si="89"/>
        <v>1</v>
      </c>
      <c r="P175" s="2">
        <f t="shared" si="90"/>
        <v>1</v>
      </c>
      <c r="R175" s="2">
        <f t="shared" si="91"/>
        <v>0</v>
      </c>
    </row>
    <row r="176">
      <c r="A176" s="1" t="s">
        <v>386</v>
      </c>
      <c r="B176" s="1" t="s">
        <v>387</v>
      </c>
      <c r="C176" s="1" t="s">
        <v>387</v>
      </c>
      <c r="D176" s="1">
        <v>14400.0</v>
      </c>
      <c r="E176" s="1">
        <v>10797.0</v>
      </c>
      <c r="F176" s="2">
        <f t="shared" si="1"/>
        <v>1</v>
      </c>
      <c r="G176" s="1">
        <v>14400.0</v>
      </c>
      <c r="H176" s="1">
        <v>10797.0</v>
      </c>
      <c r="O176" s="2">
        <f t="shared" si="89"/>
        <v>1</v>
      </c>
      <c r="P176" s="2">
        <f t="shared" si="90"/>
        <v>1</v>
      </c>
      <c r="R176" s="2">
        <f t="shared" si="91"/>
        <v>0</v>
      </c>
    </row>
    <row r="177" hidden="1">
      <c r="A177" s="1" t="s">
        <v>388</v>
      </c>
      <c r="D177" s="1">
        <v>-1.0</v>
      </c>
      <c r="E177" s="1">
        <v>-1.0</v>
      </c>
      <c r="F177" s="2">
        <f t="shared" si="1"/>
        <v>1</v>
      </c>
    </row>
    <row r="178" hidden="1">
      <c r="A178" s="1" t="s">
        <v>389</v>
      </c>
      <c r="D178" s="1">
        <v>-1.0</v>
      </c>
      <c r="E178" s="1">
        <v>-1.0</v>
      </c>
      <c r="F178" s="2">
        <f t="shared" si="1"/>
        <v>1</v>
      </c>
    </row>
    <row r="179">
      <c r="A179" s="1" t="s">
        <v>390</v>
      </c>
      <c r="B179" s="1" t="s">
        <v>391</v>
      </c>
      <c r="C179" s="1" t="s">
        <v>392</v>
      </c>
      <c r="D179" s="1">
        <v>17.0</v>
      </c>
      <c r="E179" s="1">
        <v>300.0</v>
      </c>
      <c r="F179" s="2">
        <f t="shared" si="1"/>
        <v>0</v>
      </c>
      <c r="G179" s="1">
        <v>17.0</v>
      </c>
      <c r="H179" s="1">
        <v>300.0</v>
      </c>
      <c r="O179" s="2">
        <f>LEN(C179) - LEN(SUBSTITUTE(C179, ";", "")) + 1</f>
        <v>1</v>
      </c>
      <c r="P179" s="2">
        <f>LEN(B179) - LEN(SUBSTITUTE(B179, ";", "")) + 1</f>
        <v>1</v>
      </c>
      <c r="R179" s="2">
        <f>IF(B179 = C179, 0, 1)</f>
        <v>1</v>
      </c>
    </row>
    <row r="180" hidden="1">
      <c r="A180" s="1" t="s">
        <v>393</v>
      </c>
      <c r="D180" s="1">
        <v>-1.0</v>
      </c>
      <c r="E180" s="1">
        <v>-1.0</v>
      </c>
      <c r="F180" s="2">
        <f t="shared" si="1"/>
        <v>1</v>
      </c>
    </row>
    <row r="181" hidden="1">
      <c r="A181" s="1" t="s">
        <v>394</v>
      </c>
      <c r="D181" s="1">
        <v>-1.0</v>
      </c>
      <c r="E181" s="1">
        <v>-1.0</v>
      </c>
      <c r="F181" s="2">
        <f t="shared" si="1"/>
        <v>1</v>
      </c>
    </row>
    <row r="182">
      <c r="A182" s="1" t="s">
        <v>395</v>
      </c>
      <c r="B182" s="1" t="s">
        <v>396</v>
      </c>
      <c r="C182" s="1" t="s">
        <v>396</v>
      </c>
      <c r="D182" s="1">
        <v>20.0</v>
      </c>
      <c r="E182" s="1">
        <v>20.0</v>
      </c>
      <c r="F182" s="2">
        <f t="shared" si="1"/>
        <v>1</v>
      </c>
      <c r="G182" s="1">
        <v>20.0</v>
      </c>
      <c r="H182" s="1">
        <v>20.0</v>
      </c>
      <c r="O182" s="2">
        <f>LEN(C182) - LEN(SUBSTITUTE(C182, ";", "")) + 1</f>
        <v>1</v>
      </c>
      <c r="P182" s="2">
        <f>LEN(B182) - LEN(SUBSTITUTE(B182, ";", "")) + 1</f>
        <v>1</v>
      </c>
      <c r="R182" s="2">
        <f>IF(B182 = C182, 0, 1)</f>
        <v>0</v>
      </c>
    </row>
    <row r="183" hidden="1">
      <c r="A183" s="1" t="s">
        <v>397</v>
      </c>
      <c r="D183" s="1">
        <v>-1.0</v>
      </c>
      <c r="E183" s="1">
        <v>-1.0</v>
      </c>
      <c r="F183" s="2">
        <f t="shared" si="1"/>
        <v>1</v>
      </c>
    </row>
    <row r="184">
      <c r="A184" s="1" t="s">
        <v>398</v>
      </c>
      <c r="B184" s="1" t="s">
        <v>399</v>
      </c>
      <c r="C184" s="1" t="s">
        <v>399</v>
      </c>
      <c r="D184" s="1">
        <v>600.0</v>
      </c>
      <c r="E184" s="1">
        <v>600.0</v>
      </c>
      <c r="F184" s="2">
        <f t="shared" si="1"/>
        <v>1</v>
      </c>
      <c r="G184" s="1">
        <v>600.0</v>
      </c>
      <c r="H184" s="1">
        <v>600.0</v>
      </c>
      <c r="O184" s="2">
        <f t="shared" ref="O184:O187" si="92">LEN(C184) - LEN(SUBSTITUTE(C184, ";", "")) + 1</f>
        <v>1</v>
      </c>
      <c r="P184" s="2">
        <f t="shared" ref="P184:P187" si="93">LEN(B184) - LEN(SUBSTITUTE(B184, ";", "")) + 1</f>
        <v>1</v>
      </c>
      <c r="R184" s="2">
        <f t="shared" ref="R184:R187" si="94">IF(B184 = C184, 0, 1)</f>
        <v>0</v>
      </c>
    </row>
    <row r="185">
      <c r="A185" s="1" t="s">
        <v>400</v>
      </c>
      <c r="B185" s="1" t="s">
        <v>401</v>
      </c>
      <c r="C185" s="1" t="s">
        <v>402</v>
      </c>
      <c r="D185" s="1">
        <v>300.0</v>
      </c>
      <c r="E185" s="1">
        <v>300.0</v>
      </c>
      <c r="F185" s="2">
        <f t="shared" si="1"/>
        <v>0</v>
      </c>
      <c r="G185" s="1">
        <v>300.0</v>
      </c>
      <c r="H185" s="1">
        <v>300.0</v>
      </c>
      <c r="O185" s="2">
        <f t="shared" si="92"/>
        <v>2</v>
      </c>
      <c r="P185" s="2">
        <f t="shared" si="93"/>
        <v>2</v>
      </c>
      <c r="R185" s="2">
        <f t="shared" si="94"/>
        <v>1</v>
      </c>
    </row>
    <row r="186">
      <c r="A186" s="1" t="s">
        <v>403</v>
      </c>
      <c r="B186" s="1" t="s">
        <v>404</v>
      </c>
      <c r="C186" s="1" t="s">
        <v>405</v>
      </c>
      <c r="D186" s="1">
        <v>300.0</v>
      </c>
      <c r="E186" s="1">
        <v>97.0</v>
      </c>
      <c r="F186" s="2">
        <f t="shared" si="1"/>
        <v>0</v>
      </c>
      <c r="G186" s="1">
        <v>300.0</v>
      </c>
      <c r="H186" s="1">
        <v>97.0</v>
      </c>
      <c r="O186" s="2">
        <f t="shared" si="92"/>
        <v>2</v>
      </c>
      <c r="P186" s="2">
        <f t="shared" si="93"/>
        <v>1</v>
      </c>
      <c r="R186" s="2">
        <f t="shared" si="94"/>
        <v>1</v>
      </c>
    </row>
    <row r="187">
      <c r="A187" s="1" t="s">
        <v>406</v>
      </c>
      <c r="B187" s="1" t="s">
        <v>407</v>
      </c>
      <c r="C187" s="1" t="s">
        <v>408</v>
      </c>
      <c r="D187" s="1">
        <v>175.0</v>
      </c>
      <c r="E187" s="1">
        <v>300.0</v>
      </c>
      <c r="F187" s="2">
        <f t="shared" si="1"/>
        <v>0</v>
      </c>
      <c r="G187" s="1">
        <v>175.0</v>
      </c>
      <c r="H187" s="1">
        <v>300.0</v>
      </c>
      <c r="O187" s="2">
        <f t="shared" si="92"/>
        <v>16</v>
      </c>
      <c r="P187" s="2">
        <f t="shared" si="93"/>
        <v>16</v>
      </c>
      <c r="R187" s="2">
        <f t="shared" si="94"/>
        <v>1</v>
      </c>
    </row>
    <row r="188" hidden="1">
      <c r="A188" s="1" t="s">
        <v>409</v>
      </c>
      <c r="D188" s="1">
        <v>-1.0</v>
      </c>
      <c r="E188" s="1">
        <v>-1.0</v>
      </c>
      <c r="F188" s="2">
        <f t="shared" si="1"/>
        <v>1</v>
      </c>
    </row>
    <row r="189">
      <c r="A189" s="1" t="s">
        <v>410</v>
      </c>
      <c r="B189" s="1" t="s">
        <v>411</v>
      </c>
      <c r="C189" s="1" t="s">
        <v>412</v>
      </c>
      <c r="D189" s="1">
        <v>900.0</v>
      </c>
      <c r="E189" s="1">
        <v>299.0</v>
      </c>
      <c r="F189" s="2">
        <f t="shared" si="1"/>
        <v>0</v>
      </c>
      <c r="G189" s="1">
        <v>900.0</v>
      </c>
      <c r="H189" s="1">
        <v>299.0</v>
      </c>
      <c r="O189" s="2">
        <f t="shared" ref="O189:O192" si="95">LEN(C189) - LEN(SUBSTITUTE(C189, ";", "")) + 1</f>
        <v>3</v>
      </c>
      <c r="P189" s="2">
        <f t="shared" ref="P189:P192" si="96">LEN(B189) - LEN(SUBSTITUTE(B189, ";", "")) + 1</f>
        <v>3</v>
      </c>
      <c r="R189" s="2">
        <f t="shared" ref="R189:R192" si="97">IF(B189 = C189, 0, 1)</f>
        <v>1</v>
      </c>
    </row>
    <row r="190">
      <c r="A190" s="1" t="s">
        <v>413</v>
      </c>
      <c r="B190" s="1" t="s">
        <v>414</v>
      </c>
      <c r="C190" s="1" t="s">
        <v>415</v>
      </c>
      <c r="D190" s="1">
        <v>239.0</v>
      </c>
      <c r="E190" s="1">
        <v>300.0</v>
      </c>
      <c r="F190" s="2">
        <f t="shared" si="1"/>
        <v>0</v>
      </c>
      <c r="G190" s="1">
        <v>239.0</v>
      </c>
      <c r="H190" s="1">
        <v>300.0</v>
      </c>
      <c r="O190" s="2">
        <f t="shared" si="95"/>
        <v>16</v>
      </c>
      <c r="P190" s="2">
        <f t="shared" si="96"/>
        <v>16</v>
      </c>
      <c r="R190" s="2">
        <f t="shared" si="97"/>
        <v>1</v>
      </c>
    </row>
    <row r="191">
      <c r="A191" s="1" t="s">
        <v>416</v>
      </c>
      <c r="B191" s="1" t="s">
        <v>417</v>
      </c>
      <c r="C191" s="1" t="s">
        <v>418</v>
      </c>
      <c r="D191" s="1">
        <v>237.0</v>
      </c>
      <c r="E191" s="1">
        <v>300.0</v>
      </c>
      <c r="F191" s="2">
        <f t="shared" si="1"/>
        <v>0</v>
      </c>
      <c r="G191" s="1">
        <v>237.0</v>
      </c>
      <c r="H191" s="1">
        <v>300.0</v>
      </c>
      <c r="O191" s="2">
        <f t="shared" si="95"/>
        <v>16</v>
      </c>
      <c r="P191" s="2">
        <f t="shared" si="96"/>
        <v>16</v>
      </c>
      <c r="R191" s="2">
        <f t="shared" si="97"/>
        <v>1</v>
      </c>
    </row>
    <row r="192">
      <c r="A192" s="1" t="s">
        <v>419</v>
      </c>
      <c r="B192" s="1" t="s">
        <v>420</v>
      </c>
      <c r="C192" s="1" t="s">
        <v>420</v>
      </c>
      <c r="D192" s="1">
        <v>300.0</v>
      </c>
      <c r="E192" s="1">
        <v>300.0</v>
      </c>
      <c r="F192" s="2">
        <f t="shared" si="1"/>
        <v>1</v>
      </c>
      <c r="G192" s="1">
        <v>300.0</v>
      </c>
      <c r="H192" s="1">
        <v>300.0</v>
      </c>
      <c r="O192" s="2">
        <f t="shared" si="95"/>
        <v>1</v>
      </c>
      <c r="P192" s="2">
        <f t="shared" si="96"/>
        <v>1</v>
      </c>
      <c r="R192" s="2">
        <f t="shared" si="97"/>
        <v>0</v>
      </c>
    </row>
    <row r="193" hidden="1">
      <c r="A193" s="1" t="s">
        <v>421</v>
      </c>
      <c r="D193" s="1">
        <v>-1.0</v>
      </c>
      <c r="E193" s="1">
        <v>-1.0</v>
      </c>
      <c r="F193" s="2">
        <f t="shared" si="1"/>
        <v>1</v>
      </c>
    </row>
    <row r="194">
      <c r="A194" s="1" t="s">
        <v>422</v>
      </c>
      <c r="B194" s="1" t="s">
        <v>423</v>
      </c>
      <c r="C194" s="1" t="s">
        <v>424</v>
      </c>
      <c r="D194" s="1">
        <v>60.0</v>
      </c>
      <c r="E194" s="1">
        <v>60.0</v>
      </c>
      <c r="F194" s="2">
        <f t="shared" si="1"/>
        <v>0</v>
      </c>
      <c r="G194" s="1">
        <v>60.0</v>
      </c>
      <c r="H194" s="1">
        <v>60.0</v>
      </c>
      <c r="O194" s="2">
        <f t="shared" ref="O194:O195" si="98">LEN(C194) - LEN(SUBSTITUTE(C194, ";", "")) + 1</f>
        <v>4</v>
      </c>
      <c r="P194" s="2">
        <f t="shared" ref="P194:P195" si="99">LEN(B194) - LEN(SUBSTITUTE(B194, ";", "")) + 1</f>
        <v>4</v>
      </c>
      <c r="R194" s="2">
        <f t="shared" ref="R194:R195" si="100">IF(B194 = C194, 0, 1)</f>
        <v>1</v>
      </c>
    </row>
    <row r="195">
      <c r="A195" s="1" t="s">
        <v>425</v>
      </c>
      <c r="B195" s="1" t="s">
        <v>426</v>
      </c>
      <c r="C195" s="1" t="s">
        <v>427</v>
      </c>
      <c r="D195" s="1">
        <v>20.0</v>
      </c>
      <c r="E195" s="1">
        <v>20.0</v>
      </c>
      <c r="F195" s="2">
        <f t="shared" si="1"/>
        <v>0</v>
      </c>
      <c r="G195" s="1">
        <v>20.0</v>
      </c>
      <c r="H195" s="1">
        <v>20.0</v>
      </c>
      <c r="O195" s="2">
        <f t="shared" si="98"/>
        <v>6</v>
      </c>
      <c r="P195" s="2">
        <f t="shared" si="99"/>
        <v>2</v>
      </c>
      <c r="R195" s="2">
        <f t="shared" si="100"/>
        <v>1</v>
      </c>
    </row>
    <row r="196" hidden="1">
      <c r="A196" s="1" t="s">
        <v>428</v>
      </c>
      <c r="D196" s="1">
        <v>-1.0</v>
      </c>
      <c r="E196" s="1">
        <v>-1.0</v>
      </c>
      <c r="F196" s="2">
        <f t="shared" si="1"/>
        <v>1</v>
      </c>
    </row>
    <row r="197">
      <c r="A197" s="1" t="s">
        <v>429</v>
      </c>
      <c r="B197" s="1" t="s">
        <v>430</v>
      </c>
      <c r="C197" s="1" t="s">
        <v>431</v>
      </c>
      <c r="D197" s="1">
        <v>60.0</v>
      </c>
      <c r="E197" s="1">
        <v>5.0</v>
      </c>
      <c r="F197" s="2">
        <f t="shared" si="1"/>
        <v>0</v>
      </c>
      <c r="G197" s="1">
        <v>60.0</v>
      </c>
      <c r="H197" s="1">
        <v>5.0</v>
      </c>
      <c r="O197" s="2">
        <f t="shared" ref="O197:O198" si="101">LEN(C197) - LEN(SUBSTITUTE(C197, ";", "")) + 1</f>
        <v>4</v>
      </c>
      <c r="P197" s="2">
        <f t="shared" ref="P197:P198" si="102">LEN(B197) - LEN(SUBSTITUTE(B197, ";", "")) + 1</f>
        <v>4</v>
      </c>
      <c r="R197" s="2">
        <f t="shared" ref="R197:R198" si="103">IF(B197 = C197, 0, 1)</f>
        <v>1</v>
      </c>
    </row>
    <row r="198">
      <c r="A198" s="1" t="s">
        <v>432</v>
      </c>
      <c r="B198" s="1" t="s">
        <v>433</v>
      </c>
      <c r="C198" s="1" t="s">
        <v>433</v>
      </c>
      <c r="D198" s="1">
        <v>3600.0</v>
      </c>
      <c r="E198" s="1">
        <v>3600.0</v>
      </c>
      <c r="F198" s="2">
        <f t="shared" si="1"/>
        <v>1</v>
      </c>
      <c r="G198" s="1">
        <v>3600.0</v>
      </c>
      <c r="H198" s="1">
        <v>3600.0</v>
      </c>
      <c r="O198" s="2">
        <f t="shared" si="101"/>
        <v>1</v>
      </c>
      <c r="P198" s="2">
        <f t="shared" si="102"/>
        <v>1</v>
      </c>
      <c r="R198" s="2">
        <f t="shared" si="103"/>
        <v>0</v>
      </c>
    </row>
    <row r="199" hidden="1">
      <c r="A199" s="1" t="s">
        <v>434</v>
      </c>
      <c r="D199" s="1">
        <v>-1.0</v>
      </c>
      <c r="E199" s="1">
        <v>-1.0</v>
      </c>
      <c r="F199" s="2">
        <f t="shared" si="1"/>
        <v>1</v>
      </c>
    </row>
    <row r="200">
      <c r="A200" s="1" t="s">
        <v>435</v>
      </c>
      <c r="B200" s="1" t="s">
        <v>436</v>
      </c>
      <c r="C200" s="1" t="s">
        <v>436</v>
      </c>
      <c r="D200" s="1">
        <v>900.0</v>
      </c>
      <c r="E200" s="1">
        <v>895.0</v>
      </c>
      <c r="F200" s="2">
        <f t="shared" si="1"/>
        <v>1</v>
      </c>
      <c r="G200" s="1">
        <v>900.0</v>
      </c>
      <c r="H200" s="1">
        <v>895.0</v>
      </c>
      <c r="O200" s="2">
        <f>LEN(C200) - LEN(SUBSTITUTE(C200, ";", "")) + 1</f>
        <v>2</v>
      </c>
      <c r="P200" s="2">
        <f>LEN(B200) - LEN(SUBSTITUTE(B200, ";", "")) + 1</f>
        <v>2</v>
      </c>
      <c r="R200" s="2">
        <f>IF(B200 = C200, 0, 1)</f>
        <v>0</v>
      </c>
    </row>
    <row r="201" hidden="1">
      <c r="A201" s="1" t="s">
        <v>437</v>
      </c>
      <c r="D201" s="1">
        <v>-1.0</v>
      </c>
      <c r="E201" s="1">
        <v>-1.0</v>
      </c>
      <c r="F201" s="2">
        <f t="shared" si="1"/>
        <v>1</v>
      </c>
    </row>
    <row r="202">
      <c r="A202" s="1" t="s">
        <v>438</v>
      </c>
      <c r="B202" s="1" t="s">
        <v>439</v>
      </c>
      <c r="C202" s="1" t="s">
        <v>440</v>
      </c>
      <c r="D202" s="1">
        <v>198.0</v>
      </c>
      <c r="E202" s="1">
        <v>300.0</v>
      </c>
      <c r="F202" s="2">
        <f t="shared" si="1"/>
        <v>0</v>
      </c>
      <c r="G202" s="1">
        <v>198.0</v>
      </c>
      <c r="H202" s="1">
        <v>300.0</v>
      </c>
      <c r="O202" s="2">
        <f t="shared" ref="O202:O204" si="104">LEN(C202) - LEN(SUBSTITUTE(C202, ";", "")) + 1</f>
        <v>16</v>
      </c>
      <c r="P202" s="2">
        <f t="shared" ref="P202:P204" si="105">LEN(B202) - LEN(SUBSTITUTE(B202, ";", "")) + 1</f>
        <v>16</v>
      </c>
      <c r="R202" s="2">
        <f t="shared" ref="R202:R204" si="106">IF(B202 = C202, 0, 1)</f>
        <v>1</v>
      </c>
    </row>
    <row r="203">
      <c r="A203" s="1" t="s">
        <v>441</v>
      </c>
      <c r="B203" s="1" t="s">
        <v>442</v>
      </c>
      <c r="C203" s="1" t="s">
        <v>442</v>
      </c>
      <c r="D203" s="1">
        <v>112.0</v>
      </c>
      <c r="E203" s="1">
        <v>300.0</v>
      </c>
      <c r="F203" s="2">
        <f t="shared" si="1"/>
        <v>1</v>
      </c>
      <c r="G203" s="1">
        <v>112.0</v>
      </c>
      <c r="H203" s="1">
        <v>300.0</v>
      </c>
      <c r="O203" s="2">
        <f t="shared" si="104"/>
        <v>2</v>
      </c>
      <c r="P203" s="2">
        <f t="shared" si="105"/>
        <v>2</v>
      </c>
      <c r="R203" s="2">
        <f t="shared" si="106"/>
        <v>0</v>
      </c>
    </row>
    <row r="204">
      <c r="A204" s="1" t="s">
        <v>443</v>
      </c>
      <c r="B204" s="1" t="s">
        <v>444</v>
      </c>
      <c r="C204" s="1" t="s">
        <v>445</v>
      </c>
      <c r="D204" s="1">
        <v>157.0</v>
      </c>
      <c r="E204" s="1">
        <v>300.0</v>
      </c>
      <c r="F204" s="2">
        <f t="shared" si="1"/>
        <v>0</v>
      </c>
      <c r="G204" s="1">
        <v>157.0</v>
      </c>
      <c r="H204" s="1">
        <v>300.0</v>
      </c>
      <c r="O204" s="2">
        <f t="shared" si="104"/>
        <v>16</v>
      </c>
      <c r="P204" s="2">
        <f t="shared" si="105"/>
        <v>16</v>
      </c>
      <c r="R204" s="2">
        <f t="shared" si="106"/>
        <v>1</v>
      </c>
    </row>
    <row r="205" hidden="1">
      <c r="A205" s="1" t="s">
        <v>446</v>
      </c>
      <c r="D205" s="1">
        <v>-1.0</v>
      </c>
      <c r="E205" s="1">
        <v>-1.0</v>
      </c>
      <c r="F205" s="2">
        <f t="shared" si="1"/>
        <v>1</v>
      </c>
    </row>
    <row r="206">
      <c r="A206" s="1" t="s">
        <v>447</v>
      </c>
      <c r="B206" s="1" t="s">
        <v>448</v>
      </c>
      <c r="C206" s="1" t="s">
        <v>448</v>
      </c>
      <c r="D206" s="1">
        <v>120.0</v>
      </c>
      <c r="E206" s="1">
        <v>24.0</v>
      </c>
      <c r="F206" s="2">
        <f t="shared" si="1"/>
        <v>1</v>
      </c>
      <c r="G206" s="1">
        <v>120.0</v>
      </c>
      <c r="H206" s="1">
        <v>24.0</v>
      </c>
      <c r="O206" s="2">
        <f t="shared" ref="O206:O207" si="107">LEN(C206) - LEN(SUBSTITUTE(C206, ";", "")) + 1</f>
        <v>1</v>
      </c>
      <c r="P206" s="2">
        <f t="shared" ref="P206:P207" si="108">LEN(B206) - LEN(SUBSTITUTE(B206, ";", "")) + 1</f>
        <v>1</v>
      </c>
      <c r="R206" s="2">
        <f t="shared" ref="R206:R207" si="109">IF(B206 = C206, 0, 1)</f>
        <v>0</v>
      </c>
    </row>
    <row r="207">
      <c r="A207" s="1" t="s">
        <v>449</v>
      </c>
      <c r="B207" s="1" t="s">
        <v>450</v>
      </c>
      <c r="C207" s="1" t="s">
        <v>450</v>
      </c>
      <c r="D207" s="1">
        <v>600.0</v>
      </c>
      <c r="E207" s="1">
        <v>600.0</v>
      </c>
      <c r="F207" s="2">
        <f t="shared" si="1"/>
        <v>1</v>
      </c>
      <c r="G207" s="1">
        <v>600.0</v>
      </c>
      <c r="H207" s="1">
        <v>600.0</v>
      </c>
      <c r="O207" s="2">
        <f t="shared" si="107"/>
        <v>1</v>
      </c>
      <c r="P207" s="2">
        <f t="shared" si="108"/>
        <v>1</v>
      </c>
      <c r="R207" s="2">
        <f t="shared" si="109"/>
        <v>0</v>
      </c>
    </row>
    <row r="208" hidden="1">
      <c r="A208" s="1" t="s">
        <v>451</v>
      </c>
      <c r="D208" s="1">
        <v>-1.0</v>
      </c>
      <c r="E208" s="1">
        <v>-1.0</v>
      </c>
      <c r="F208" s="2">
        <f t="shared" si="1"/>
        <v>1</v>
      </c>
    </row>
    <row r="209" hidden="1">
      <c r="A209" s="1" t="s">
        <v>452</v>
      </c>
      <c r="D209" s="1">
        <v>-1.0</v>
      </c>
      <c r="E209" s="1">
        <v>-1.0</v>
      </c>
      <c r="F209" s="2">
        <f t="shared" si="1"/>
        <v>1</v>
      </c>
    </row>
    <row r="210">
      <c r="A210" s="1" t="s">
        <v>453</v>
      </c>
      <c r="B210" s="1" t="s">
        <v>454</v>
      </c>
      <c r="C210" s="1" t="s">
        <v>455</v>
      </c>
      <c r="D210" s="1">
        <v>600.0</v>
      </c>
      <c r="E210" s="1">
        <v>93.0</v>
      </c>
      <c r="F210" s="2">
        <f t="shared" si="1"/>
        <v>0</v>
      </c>
      <c r="G210" s="1">
        <v>600.0</v>
      </c>
      <c r="H210" s="1">
        <v>93.0</v>
      </c>
      <c r="O210" s="2">
        <f t="shared" ref="O210:O214" si="110">LEN(C210) - LEN(SUBSTITUTE(C210, ";", "")) + 1</f>
        <v>4</v>
      </c>
      <c r="P210" s="2">
        <f t="shared" ref="P210:P214" si="111">LEN(B210) - LEN(SUBSTITUTE(B210, ";", "")) + 1</f>
        <v>4</v>
      </c>
      <c r="R210" s="2">
        <f t="shared" ref="R210:R214" si="112">IF(B210 = C210, 0, 1)</f>
        <v>1</v>
      </c>
    </row>
    <row r="211">
      <c r="A211" s="1" t="s">
        <v>456</v>
      </c>
      <c r="B211" s="1" t="s">
        <v>457</v>
      </c>
      <c r="C211" s="1" t="s">
        <v>458</v>
      </c>
      <c r="D211" s="1">
        <v>66.0</v>
      </c>
      <c r="E211" s="1">
        <v>300.0</v>
      </c>
      <c r="F211" s="2">
        <f t="shared" si="1"/>
        <v>0</v>
      </c>
      <c r="G211" s="1">
        <v>66.0</v>
      </c>
      <c r="H211" s="1">
        <v>300.0</v>
      </c>
      <c r="O211" s="2">
        <f t="shared" si="110"/>
        <v>4</v>
      </c>
      <c r="P211" s="2">
        <f t="shared" si="111"/>
        <v>4</v>
      </c>
      <c r="R211" s="2">
        <f t="shared" si="112"/>
        <v>1</v>
      </c>
    </row>
    <row r="212">
      <c r="A212" s="1" t="s">
        <v>459</v>
      </c>
      <c r="B212" s="1" t="s">
        <v>460</v>
      </c>
      <c r="C212" s="1" t="s">
        <v>461</v>
      </c>
      <c r="D212" s="1">
        <v>258.0</v>
      </c>
      <c r="E212" s="1">
        <v>300.0</v>
      </c>
      <c r="F212" s="2">
        <f t="shared" si="1"/>
        <v>0</v>
      </c>
      <c r="G212" s="1">
        <v>258.0</v>
      </c>
      <c r="H212" s="1">
        <v>300.0</v>
      </c>
      <c r="O212" s="2">
        <f t="shared" si="110"/>
        <v>16</v>
      </c>
      <c r="P212" s="2">
        <f t="shared" si="111"/>
        <v>16</v>
      </c>
      <c r="R212" s="2">
        <f t="shared" si="112"/>
        <v>1</v>
      </c>
    </row>
    <row r="213">
      <c r="A213" s="1" t="s">
        <v>462</v>
      </c>
      <c r="B213" s="1" t="s">
        <v>463</v>
      </c>
      <c r="C213" s="1" t="s">
        <v>464</v>
      </c>
      <c r="D213" s="1">
        <v>3600.0</v>
      </c>
      <c r="E213" s="1">
        <v>593.0</v>
      </c>
      <c r="F213" s="2">
        <f t="shared" si="1"/>
        <v>0</v>
      </c>
      <c r="G213" s="1">
        <v>3600.0</v>
      </c>
      <c r="H213" s="1">
        <v>593.0</v>
      </c>
      <c r="O213" s="2">
        <f t="shared" si="110"/>
        <v>5</v>
      </c>
      <c r="P213" s="2">
        <f t="shared" si="111"/>
        <v>5</v>
      </c>
      <c r="R213" s="2">
        <f t="shared" si="112"/>
        <v>1</v>
      </c>
    </row>
    <row r="214">
      <c r="A214" s="1" t="s">
        <v>465</v>
      </c>
      <c r="B214" s="1" t="s">
        <v>466</v>
      </c>
      <c r="C214" s="1" t="s">
        <v>467</v>
      </c>
      <c r="D214" s="1">
        <v>900.0</v>
      </c>
      <c r="E214" s="1">
        <v>372.0</v>
      </c>
      <c r="F214" s="2">
        <f t="shared" si="1"/>
        <v>0</v>
      </c>
      <c r="G214" s="1">
        <v>900.0</v>
      </c>
      <c r="H214" s="1">
        <v>372.0</v>
      </c>
      <c r="O214" s="2">
        <f t="shared" si="110"/>
        <v>2</v>
      </c>
      <c r="P214" s="2">
        <f t="shared" si="111"/>
        <v>2</v>
      </c>
      <c r="R214" s="2">
        <f t="shared" si="112"/>
        <v>1</v>
      </c>
    </row>
    <row r="215" hidden="1">
      <c r="A215" s="1" t="s">
        <v>468</v>
      </c>
      <c r="D215" s="1">
        <v>-1.0</v>
      </c>
      <c r="E215" s="1">
        <v>-1.0</v>
      </c>
      <c r="F215" s="2">
        <f t="shared" si="1"/>
        <v>1</v>
      </c>
    </row>
    <row r="216">
      <c r="A216" s="1" t="s">
        <v>469</v>
      </c>
      <c r="B216" s="1" t="s">
        <v>470</v>
      </c>
      <c r="C216" s="1" t="s">
        <v>470</v>
      </c>
      <c r="D216" s="1">
        <v>300.0</v>
      </c>
      <c r="E216" s="1">
        <v>239.0</v>
      </c>
      <c r="F216" s="2">
        <f t="shared" si="1"/>
        <v>1</v>
      </c>
      <c r="G216" s="1">
        <v>300.0</v>
      </c>
      <c r="H216" s="1">
        <v>239.0</v>
      </c>
      <c r="O216" s="2">
        <f>LEN(C216) - LEN(SUBSTITUTE(C216, ";", "")) + 1</f>
        <v>1</v>
      </c>
      <c r="P216" s="2">
        <f>LEN(B216) - LEN(SUBSTITUTE(B216, ";", "")) + 1</f>
        <v>1</v>
      </c>
      <c r="R216" s="2">
        <f>IF(B216 = C216, 0, 1)</f>
        <v>0</v>
      </c>
    </row>
    <row r="217" hidden="1">
      <c r="A217" s="1" t="s">
        <v>471</v>
      </c>
      <c r="D217" s="1">
        <v>-1.0</v>
      </c>
      <c r="E217" s="1">
        <v>-1.0</v>
      </c>
      <c r="F217" s="2">
        <f t="shared" si="1"/>
        <v>1</v>
      </c>
    </row>
    <row r="218">
      <c r="A218" s="1" t="s">
        <v>472</v>
      </c>
      <c r="B218" s="1" t="s">
        <v>473</v>
      </c>
      <c r="C218" s="1" t="s">
        <v>473</v>
      </c>
      <c r="D218" s="1">
        <v>98.0</v>
      </c>
      <c r="E218" s="1">
        <v>254.0</v>
      </c>
      <c r="F218" s="2">
        <f t="shared" si="1"/>
        <v>1</v>
      </c>
      <c r="G218" s="1">
        <v>98.0</v>
      </c>
      <c r="H218" s="1">
        <v>254.0</v>
      </c>
      <c r="O218" s="2">
        <f t="shared" ref="O218:O220" si="113">LEN(C218) - LEN(SUBSTITUTE(C218, ";", "")) + 1</f>
        <v>1</v>
      </c>
      <c r="P218" s="2">
        <f t="shared" ref="P218:P220" si="114">LEN(B218) - LEN(SUBSTITUTE(B218, ";", "")) + 1</f>
        <v>1</v>
      </c>
      <c r="R218" s="2">
        <f t="shared" ref="R218:R220" si="115">IF(B218 = C218, 0, 1)</f>
        <v>0</v>
      </c>
    </row>
    <row r="219">
      <c r="A219" s="1" t="s">
        <v>474</v>
      </c>
      <c r="B219" s="1" t="s">
        <v>475</v>
      </c>
      <c r="C219" s="1" t="s">
        <v>476</v>
      </c>
      <c r="D219" s="1">
        <v>8.0</v>
      </c>
      <c r="E219" s="1">
        <v>300.0</v>
      </c>
      <c r="F219" s="2">
        <f t="shared" si="1"/>
        <v>0</v>
      </c>
      <c r="G219" s="1">
        <v>8.0</v>
      </c>
      <c r="H219" s="1">
        <v>300.0</v>
      </c>
      <c r="O219" s="2">
        <f t="shared" si="113"/>
        <v>16</v>
      </c>
      <c r="P219" s="2">
        <f t="shared" si="114"/>
        <v>16</v>
      </c>
      <c r="R219" s="2">
        <f t="shared" si="115"/>
        <v>1</v>
      </c>
    </row>
    <row r="220">
      <c r="A220" s="1" t="s">
        <v>477</v>
      </c>
      <c r="B220" s="1" t="s">
        <v>478</v>
      </c>
      <c r="C220" s="1" t="s">
        <v>478</v>
      </c>
      <c r="D220" s="1">
        <v>300.0</v>
      </c>
      <c r="E220" s="1">
        <v>300.0</v>
      </c>
      <c r="F220" s="2">
        <f t="shared" si="1"/>
        <v>1</v>
      </c>
      <c r="G220" s="1">
        <v>300.0</v>
      </c>
      <c r="H220" s="1">
        <v>300.0</v>
      </c>
      <c r="O220" s="2">
        <f t="shared" si="113"/>
        <v>1</v>
      </c>
      <c r="P220" s="2">
        <f t="shared" si="114"/>
        <v>1</v>
      </c>
      <c r="R220" s="2">
        <f t="shared" si="115"/>
        <v>0</v>
      </c>
    </row>
    <row r="221" hidden="1">
      <c r="A221" s="1" t="s">
        <v>479</v>
      </c>
      <c r="D221" s="1">
        <v>-1.0</v>
      </c>
      <c r="E221" s="1">
        <v>-1.0</v>
      </c>
      <c r="F221" s="2">
        <f t="shared" si="1"/>
        <v>1</v>
      </c>
    </row>
    <row r="222">
      <c r="A222" s="1" t="s">
        <v>480</v>
      </c>
      <c r="B222" s="1" t="s">
        <v>481</v>
      </c>
      <c r="C222" s="1" t="s">
        <v>482</v>
      </c>
      <c r="D222" s="1">
        <v>60.0</v>
      </c>
      <c r="E222" s="1">
        <v>60.0</v>
      </c>
      <c r="F222" s="2">
        <f t="shared" si="1"/>
        <v>0</v>
      </c>
      <c r="G222" s="1">
        <v>60.0</v>
      </c>
      <c r="H222" s="1">
        <v>60.0</v>
      </c>
      <c r="O222" s="2">
        <f t="shared" ref="O222:O223" si="116">LEN(C222) - LEN(SUBSTITUTE(C222, ";", "")) + 1</f>
        <v>4</v>
      </c>
      <c r="P222" s="2">
        <f t="shared" ref="P222:P223" si="117">LEN(B222) - LEN(SUBSTITUTE(B222, ";", "")) + 1</f>
        <v>4</v>
      </c>
      <c r="R222" s="2">
        <f t="shared" ref="R222:R223" si="118">IF(B222 = C222, 0, 1)</f>
        <v>1</v>
      </c>
    </row>
    <row r="223">
      <c r="A223" s="1" t="s">
        <v>483</v>
      </c>
      <c r="B223" s="1" t="s">
        <v>484</v>
      </c>
      <c r="C223" s="1" t="s">
        <v>485</v>
      </c>
      <c r="D223" s="1">
        <v>232.0</v>
      </c>
      <c r="E223" s="1">
        <v>300.0</v>
      </c>
      <c r="F223" s="2">
        <f t="shared" si="1"/>
        <v>0</v>
      </c>
      <c r="G223" s="1">
        <v>232.0</v>
      </c>
      <c r="H223" s="1">
        <v>300.0</v>
      </c>
      <c r="O223" s="2">
        <f t="shared" si="116"/>
        <v>1</v>
      </c>
      <c r="P223" s="2">
        <f t="shared" si="117"/>
        <v>1</v>
      </c>
      <c r="R223" s="2">
        <f t="shared" si="118"/>
        <v>1</v>
      </c>
    </row>
    <row r="224" hidden="1">
      <c r="A224" s="1" t="s">
        <v>486</v>
      </c>
      <c r="D224" s="1">
        <v>-1.0</v>
      </c>
      <c r="E224" s="1">
        <v>-1.0</v>
      </c>
      <c r="F224" s="2">
        <f t="shared" si="1"/>
        <v>1</v>
      </c>
    </row>
    <row r="225">
      <c r="A225" s="1" t="s">
        <v>487</v>
      </c>
      <c r="B225" s="1" t="s">
        <v>488</v>
      </c>
      <c r="C225" s="1" t="s">
        <v>488</v>
      </c>
      <c r="D225" s="1">
        <v>192.0</v>
      </c>
      <c r="E225" s="1">
        <v>300.0</v>
      </c>
      <c r="F225" s="2">
        <f t="shared" si="1"/>
        <v>1</v>
      </c>
      <c r="G225" s="1">
        <v>192.0</v>
      </c>
      <c r="H225" s="1">
        <v>300.0</v>
      </c>
      <c r="O225" s="2">
        <f t="shared" ref="O225:O226" si="119">LEN(C225) - LEN(SUBSTITUTE(C225, ";", "")) + 1</f>
        <v>2</v>
      </c>
      <c r="P225" s="2">
        <f t="shared" ref="P225:P226" si="120">LEN(B225) - LEN(SUBSTITUTE(B225, ";", "")) + 1</f>
        <v>2</v>
      </c>
      <c r="R225" s="2">
        <f t="shared" ref="R225:R226" si="121">IF(B225 = C225, 0, 1)</f>
        <v>0</v>
      </c>
    </row>
    <row r="226">
      <c r="A226" s="1" t="s">
        <v>489</v>
      </c>
      <c r="B226" s="1" t="s">
        <v>490</v>
      </c>
      <c r="C226" s="1" t="s">
        <v>491</v>
      </c>
      <c r="D226" s="1">
        <v>300.0</v>
      </c>
      <c r="E226" s="1">
        <v>300.0</v>
      </c>
      <c r="F226" s="2">
        <f t="shared" si="1"/>
        <v>0</v>
      </c>
      <c r="G226" s="1">
        <v>300.0</v>
      </c>
      <c r="H226" s="1">
        <v>300.0</v>
      </c>
      <c r="O226" s="2">
        <f t="shared" si="119"/>
        <v>6</v>
      </c>
      <c r="P226" s="2">
        <f t="shared" si="120"/>
        <v>6</v>
      </c>
      <c r="R226" s="2">
        <f t="shared" si="121"/>
        <v>1</v>
      </c>
    </row>
    <row r="227" hidden="1">
      <c r="A227" s="1" t="s">
        <v>492</v>
      </c>
      <c r="D227" s="1">
        <v>-1.0</v>
      </c>
      <c r="E227" s="1">
        <v>-1.0</v>
      </c>
      <c r="F227" s="2">
        <f t="shared" si="1"/>
        <v>1</v>
      </c>
    </row>
    <row r="228">
      <c r="A228" s="1" t="s">
        <v>493</v>
      </c>
      <c r="B228" s="1" t="s">
        <v>494</v>
      </c>
      <c r="C228" s="1" t="s">
        <v>298</v>
      </c>
      <c r="D228" s="1">
        <v>300.0</v>
      </c>
      <c r="E228" s="1">
        <v>300.0</v>
      </c>
      <c r="F228" s="2">
        <f t="shared" si="1"/>
        <v>0</v>
      </c>
      <c r="G228" s="1">
        <v>300.0</v>
      </c>
      <c r="H228" s="1">
        <v>300.0</v>
      </c>
      <c r="O228" s="2">
        <f t="shared" ref="O228:O229" si="122">LEN(C228) - LEN(SUBSTITUTE(C228, ";", "")) + 1</f>
        <v>4</v>
      </c>
      <c r="P228" s="2">
        <f t="shared" ref="P228:P229" si="123">LEN(B228) - LEN(SUBSTITUTE(B228, ";", "")) + 1</f>
        <v>4</v>
      </c>
      <c r="R228" s="2">
        <f t="shared" ref="R228:R229" si="124">IF(B228 = C228, 0, 1)</f>
        <v>1</v>
      </c>
    </row>
    <row r="229">
      <c r="A229" s="1" t="s">
        <v>495</v>
      </c>
      <c r="B229" s="1" t="s">
        <v>496</v>
      </c>
      <c r="C229" s="1" t="s">
        <v>497</v>
      </c>
      <c r="D229" s="1">
        <v>300.0</v>
      </c>
      <c r="E229" s="1">
        <v>300.0</v>
      </c>
      <c r="F229" s="2">
        <f t="shared" si="1"/>
        <v>0</v>
      </c>
      <c r="G229" s="1">
        <v>300.0</v>
      </c>
      <c r="H229" s="1">
        <v>300.0</v>
      </c>
      <c r="O229" s="2">
        <f t="shared" si="122"/>
        <v>15</v>
      </c>
      <c r="P229" s="2">
        <f t="shared" si="123"/>
        <v>16</v>
      </c>
      <c r="R229" s="2">
        <f t="shared" si="124"/>
        <v>1</v>
      </c>
    </row>
    <row r="230" hidden="1">
      <c r="A230" s="1" t="s">
        <v>498</v>
      </c>
      <c r="D230" s="1">
        <v>-1.0</v>
      </c>
      <c r="E230" s="1">
        <v>-1.0</v>
      </c>
      <c r="F230" s="2">
        <f t="shared" si="1"/>
        <v>1</v>
      </c>
    </row>
    <row r="231">
      <c r="A231" s="1" t="s">
        <v>499</v>
      </c>
      <c r="B231" s="1" t="s">
        <v>54</v>
      </c>
      <c r="C231" s="1" t="s">
        <v>500</v>
      </c>
      <c r="D231" s="1">
        <v>300.0</v>
      </c>
      <c r="E231" s="1">
        <v>300.0</v>
      </c>
      <c r="F231" s="2">
        <f t="shared" si="1"/>
        <v>0</v>
      </c>
      <c r="G231" s="1">
        <v>300.0</v>
      </c>
      <c r="H231" s="1">
        <v>300.0</v>
      </c>
      <c r="O231" s="2">
        <f t="shared" ref="O231:O240" si="125">LEN(C231) - LEN(SUBSTITUTE(C231, ";", "")) + 1</f>
        <v>1</v>
      </c>
      <c r="P231" s="2">
        <f t="shared" ref="P231:P240" si="126">LEN(B231) - LEN(SUBSTITUTE(B231, ";", "")) + 1</f>
        <v>1</v>
      </c>
      <c r="R231" s="2">
        <f t="shared" ref="R231:R240" si="127">IF(B231 = C231, 0, 1)</f>
        <v>1</v>
      </c>
    </row>
    <row r="232">
      <c r="A232" s="1" t="s">
        <v>501</v>
      </c>
      <c r="B232" s="1" t="s">
        <v>502</v>
      </c>
      <c r="C232" s="1" t="s">
        <v>503</v>
      </c>
      <c r="D232" s="1">
        <v>170.0</v>
      </c>
      <c r="E232" s="1">
        <v>300.0</v>
      </c>
      <c r="F232" s="2">
        <f t="shared" si="1"/>
        <v>0</v>
      </c>
      <c r="G232" s="1">
        <v>170.0</v>
      </c>
      <c r="H232" s="1">
        <v>300.0</v>
      </c>
      <c r="O232" s="2">
        <f t="shared" si="125"/>
        <v>16</v>
      </c>
      <c r="P232" s="2">
        <f t="shared" si="126"/>
        <v>16</v>
      </c>
      <c r="R232" s="2">
        <f t="shared" si="127"/>
        <v>1</v>
      </c>
    </row>
    <row r="233">
      <c r="A233" s="1" t="s">
        <v>504</v>
      </c>
      <c r="B233" s="1" t="s">
        <v>505</v>
      </c>
      <c r="C233" s="1" t="s">
        <v>505</v>
      </c>
      <c r="D233" s="1">
        <v>60.0</v>
      </c>
      <c r="E233" s="1">
        <v>46.0</v>
      </c>
      <c r="F233" s="2">
        <f t="shared" si="1"/>
        <v>1</v>
      </c>
      <c r="G233" s="1">
        <v>60.0</v>
      </c>
      <c r="H233" s="1">
        <v>46.0</v>
      </c>
      <c r="O233" s="2">
        <f t="shared" si="125"/>
        <v>2</v>
      </c>
      <c r="P233" s="2">
        <f t="shared" si="126"/>
        <v>2</v>
      </c>
      <c r="R233" s="2">
        <f t="shared" si="127"/>
        <v>0</v>
      </c>
    </row>
    <row r="234">
      <c r="A234" s="1" t="s">
        <v>506</v>
      </c>
      <c r="B234" s="1" t="s">
        <v>507</v>
      </c>
      <c r="C234" s="1" t="s">
        <v>507</v>
      </c>
      <c r="D234" s="1">
        <v>3600.0</v>
      </c>
      <c r="E234" s="1">
        <v>2708.0</v>
      </c>
      <c r="F234" s="2">
        <f t="shared" si="1"/>
        <v>1</v>
      </c>
      <c r="G234" s="1">
        <v>3600.0</v>
      </c>
      <c r="H234" s="1">
        <v>2708.0</v>
      </c>
      <c r="O234" s="2">
        <f t="shared" si="125"/>
        <v>1</v>
      </c>
      <c r="P234" s="2">
        <f t="shared" si="126"/>
        <v>1</v>
      </c>
      <c r="R234" s="2">
        <f t="shared" si="127"/>
        <v>0</v>
      </c>
    </row>
    <row r="235">
      <c r="A235" s="1" t="s">
        <v>508</v>
      </c>
      <c r="B235" s="1" t="s">
        <v>509</v>
      </c>
      <c r="C235" s="1" t="s">
        <v>510</v>
      </c>
      <c r="D235" s="1">
        <v>92.0</v>
      </c>
      <c r="E235" s="1">
        <v>300.0</v>
      </c>
      <c r="F235" s="2">
        <f t="shared" si="1"/>
        <v>0</v>
      </c>
      <c r="G235" s="1">
        <v>92.0</v>
      </c>
      <c r="H235" s="1">
        <v>300.0</v>
      </c>
      <c r="O235" s="2">
        <f t="shared" si="125"/>
        <v>15</v>
      </c>
      <c r="P235" s="2">
        <f t="shared" si="126"/>
        <v>16</v>
      </c>
      <c r="R235" s="2">
        <f t="shared" si="127"/>
        <v>1</v>
      </c>
    </row>
    <row r="236">
      <c r="A236" s="1" t="s">
        <v>511</v>
      </c>
      <c r="B236" s="1" t="s">
        <v>512</v>
      </c>
      <c r="C236" s="1" t="s">
        <v>513</v>
      </c>
      <c r="D236" s="1">
        <v>48.0</v>
      </c>
      <c r="E236" s="1">
        <v>300.0</v>
      </c>
      <c r="F236" s="2">
        <f t="shared" si="1"/>
        <v>0</v>
      </c>
      <c r="G236" s="1">
        <v>48.0</v>
      </c>
      <c r="H236" s="1">
        <v>300.0</v>
      </c>
      <c r="O236" s="2">
        <f t="shared" si="125"/>
        <v>15</v>
      </c>
      <c r="P236" s="2">
        <f t="shared" si="126"/>
        <v>16</v>
      </c>
      <c r="R236" s="2">
        <f t="shared" si="127"/>
        <v>1</v>
      </c>
    </row>
    <row r="237">
      <c r="A237" s="1" t="s">
        <v>514</v>
      </c>
      <c r="B237" s="1" t="s">
        <v>515</v>
      </c>
      <c r="C237" s="1" t="s">
        <v>516</v>
      </c>
      <c r="D237" s="1">
        <v>41.0</v>
      </c>
      <c r="E237" s="1">
        <v>18.0</v>
      </c>
      <c r="F237" s="2">
        <f t="shared" si="1"/>
        <v>0</v>
      </c>
      <c r="G237" s="1">
        <v>41.0</v>
      </c>
      <c r="H237" s="1">
        <v>18.0</v>
      </c>
      <c r="O237" s="2">
        <f t="shared" si="125"/>
        <v>3</v>
      </c>
      <c r="P237" s="2">
        <f t="shared" si="126"/>
        <v>3</v>
      </c>
      <c r="R237" s="2">
        <f t="shared" si="127"/>
        <v>1</v>
      </c>
    </row>
    <row r="238">
      <c r="A238" s="1" t="s">
        <v>517</v>
      </c>
      <c r="B238" s="1" t="s">
        <v>518</v>
      </c>
      <c r="C238" s="1" t="s">
        <v>519</v>
      </c>
      <c r="D238" s="1">
        <v>300.0</v>
      </c>
      <c r="E238" s="1">
        <v>300.0</v>
      </c>
      <c r="F238" s="2">
        <f t="shared" si="1"/>
        <v>0</v>
      </c>
      <c r="G238" s="1">
        <v>300.0</v>
      </c>
      <c r="H238" s="1">
        <v>300.0</v>
      </c>
      <c r="O238" s="2">
        <f t="shared" si="125"/>
        <v>16</v>
      </c>
      <c r="P238" s="2">
        <f t="shared" si="126"/>
        <v>16</v>
      </c>
      <c r="R238" s="2">
        <f t="shared" si="127"/>
        <v>1</v>
      </c>
    </row>
    <row r="239">
      <c r="A239" s="1" t="s">
        <v>520</v>
      </c>
      <c r="B239" s="1" t="s">
        <v>521</v>
      </c>
      <c r="C239" s="1" t="s">
        <v>521</v>
      </c>
      <c r="D239" s="1">
        <v>5.0</v>
      </c>
      <c r="E239" s="1">
        <v>5.0</v>
      </c>
      <c r="F239" s="2">
        <f t="shared" si="1"/>
        <v>1</v>
      </c>
      <c r="G239" s="1">
        <v>5.0</v>
      </c>
      <c r="H239" s="1">
        <v>5.0</v>
      </c>
      <c r="O239" s="2">
        <f t="shared" si="125"/>
        <v>1</v>
      </c>
      <c r="P239" s="2">
        <f t="shared" si="126"/>
        <v>1</v>
      </c>
      <c r="R239" s="2">
        <f t="shared" si="127"/>
        <v>0</v>
      </c>
    </row>
    <row r="240">
      <c r="A240" s="1" t="s">
        <v>522</v>
      </c>
      <c r="B240" s="1" t="s">
        <v>523</v>
      </c>
      <c r="C240" s="1" t="s">
        <v>524</v>
      </c>
      <c r="D240" s="1">
        <v>144.0</v>
      </c>
      <c r="E240" s="1">
        <v>300.0</v>
      </c>
      <c r="F240" s="2">
        <f t="shared" si="1"/>
        <v>0</v>
      </c>
      <c r="G240" s="1">
        <v>144.0</v>
      </c>
      <c r="H240" s="1">
        <v>300.0</v>
      </c>
      <c r="O240" s="2">
        <f t="shared" si="125"/>
        <v>11</v>
      </c>
      <c r="P240" s="2">
        <f t="shared" si="126"/>
        <v>11</v>
      </c>
      <c r="R240" s="2">
        <f t="shared" si="127"/>
        <v>1</v>
      </c>
    </row>
    <row r="241" hidden="1">
      <c r="A241" s="1" t="s">
        <v>525</v>
      </c>
      <c r="D241" s="1">
        <v>-1.0</v>
      </c>
      <c r="E241" s="1">
        <v>-1.0</v>
      </c>
      <c r="F241" s="2">
        <f t="shared" si="1"/>
        <v>1</v>
      </c>
    </row>
    <row r="242" hidden="1">
      <c r="A242" s="1" t="s">
        <v>526</v>
      </c>
      <c r="D242" s="1">
        <v>-1.0</v>
      </c>
      <c r="E242" s="1">
        <v>-1.0</v>
      </c>
      <c r="F242" s="2">
        <f t="shared" si="1"/>
        <v>1</v>
      </c>
    </row>
    <row r="243">
      <c r="A243" s="1" t="s">
        <v>527</v>
      </c>
      <c r="B243" s="1" t="s">
        <v>528</v>
      </c>
      <c r="C243" s="1" t="s">
        <v>528</v>
      </c>
      <c r="D243" s="1">
        <v>600.0</v>
      </c>
      <c r="E243" s="1">
        <v>600.0</v>
      </c>
      <c r="F243" s="2">
        <f t="shared" si="1"/>
        <v>1</v>
      </c>
      <c r="G243" s="1">
        <v>600.0</v>
      </c>
      <c r="H243" s="1">
        <v>600.0</v>
      </c>
      <c r="O243" s="2">
        <f t="shared" ref="O243:O248" si="128">LEN(C243) - LEN(SUBSTITUTE(C243, ";", "")) + 1</f>
        <v>1</v>
      </c>
      <c r="P243" s="2">
        <f t="shared" ref="P243:P248" si="129">LEN(B243) - LEN(SUBSTITUTE(B243, ";", "")) + 1</f>
        <v>1</v>
      </c>
      <c r="R243" s="2">
        <f t="shared" ref="R243:R248" si="130">IF(B243 = C243, 0, 1)</f>
        <v>0</v>
      </c>
    </row>
    <row r="244">
      <c r="A244" s="1" t="s">
        <v>529</v>
      </c>
      <c r="B244" s="1" t="s">
        <v>530</v>
      </c>
      <c r="C244" s="1" t="s">
        <v>531</v>
      </c>
      <c r="D244" s="1">
        <v>300.0</v>
      </c>
      <c r="E244" s="1">
        <v>300.0</v>
      </c>
      <c r="F244" s="2">
        <f t="shared" si="1"/>
        <v>0</v>
      </c>
      <c r="G244" s="1">
        <v>300.0</v>
      </c>
      <c r="H244" s="1">
        <v>300.0</v>
      </c>
      <c r="O244" s="2">
        <f t="shared" si="128"/>
        <v>2</v>
      </c>
      <c r="P244" s="2">
        <f t="shared" si="129"/>
        <v>2</v>
      </c>
      <c r="R244" s="2">
        <f t="shared" si="130"/>
        <v>1</v>
      </c>
    </row>
    <row r="245">
      <c r="A245" s="1" t="s">
        <v>532</v>
      </c>
      <c r="B245" s="1" t="s">
        <v>533</v>
      </c>
      <c r="C245" s="1" t="s">
        <v>533</v>
      </c>
      <c r="D245" s="1">
        <v>600.0</v>
      </c>
      <c r="E245" s="1">
        <v>600.0</v>
      </c>
      <c r="F245" s="2">
        <f t="shared" si="1"/>
        <v>1</v>
      </c>
      <c r="G245" s="1">
        <v>600.0</v>
      </c>
      <c r="H245" s="1">
        <v>600.0</v>
      </c>
      <c r="O245" s="2">
        <f t="shared" si="128"/>
        <v>1</v>
      </c>
      <c r="P245" s="2">
        <f t="shared" si="129"/>
        <v>1</v>
      </c>
      <c r="R245" s="2">
        <f t="shared" si="130"/>
        <v>0</v>
      </c>
    </row>
    <row r="246">
      <c r="A246" s="1" t="s">
        <v>534</v>
      </c>
      <c r="B246" s="1" t="s">
        <v>535</v>
      </c>
      <c r="C246" s="1" t="s">
        <v>535</v>
      </c>
      <c r="D246" s="1">
        <v>600.0</v>
      </c>
      <c r="E246" s="1">
        <v>361.0</v>
      </c>
      <c r="F246" s="2">
        <f t="shared" si="1"/>
        <v>1</v>
      </c>
      <c r="G246" s="1">
        <v>600.0</v>
      </c>
      <c r="H246" s="1">
        <v>361.0</v>
      </c>
      <c r="O246" s="2">
        <f t="shared" si="128"/>
        <v>2</v>
      </c>
      <c r="P246" s="2">
        <f t="shared" si="129"/>
        <v>2</v>
      </c>
      <c r="R246" s="2">
        <f t="shared" si="130"/>
        <v>0</v>
      </c>
    </row>
    <row r="247">
      <c r="A247" s="1" t="s">
        <v>536</v>
      </c>
      <c r="B247" s="1" t="s">
        <v>537</v>
      </c>
      <c r="C247" s="1" t="s">
        <v>537</v>
      </c>
      <c r="D247" s="1">
        <v>3600.0</v>
      </c>
      <c r="E247" s="1">
        <v>3600.0</v>
      </c>
      <c r="F247" s="2">
        <f t="shared" si="1"/>
        <v>1</v>
      </c>
      <c r="G247" s="1">
        <v>3600.0</v>
      </c>
      <c r="H247" s="1">
        <v>3600.0</v>
      </c>
      <c r="O247" s="2">
        <f t="shared" si="128"/>
        <v>1</v>
      </c>
      <c r="P247" s="2">
        <f t="shared" si="129"/>
        <v>1</v>
      </c>
      <c r="R247" s="2">
        <f t="shared" si="130"/>
        <v>0</v>
      </c>
    </row>
    <row r="248">
      <c r="A248" s="1" t="s">
        <v>538</v>
      </c>
      <c r="B248" s="1" t="s">
        <v>539</v>
      </c>
      <c r="C248" s="1" t="s">
        <v>539</v>
      </c>
      <c r="D248" s="1">
        <v>60.0</v>
      </c>
      <c r="E248" s="1">
        <v>60.0</v>
      </c>
      <c r="F248" s="2">
        <f t="shared" si="1"/>
        <v>1</v>
      </c>
      <c r="G248" s="1">
        <v>60.0</v>
      </c>
      <c r="H248" s="1">
        <v>60.0</v>
      </c>
      <c r="O248" s="2">
        <f t="shared" si="128"/>
        <v>3</v>
      </c>
      <c r="P248" s="2">
        <f t="shared" si="129"/>
        <v>3</v>
      </c>
      <c r="R248" s="2">
        <f t="shared" si="130"/>
        <v>0</v>
      </c>
    </row>
    <row r="249" hidden="1">
      <c r="A249" s="1" t="s">
        <v>540</v>
      </c>
      <c r="D249" s="1">
        <v>-1.0</v>
      </c>
      <c r="E249" s="1">
        <v>-1.0</v>
      </c>
      <c r="F249" s="2">
        <f t="shared" si="1"/>
        <v>1</v>
      </c>
    </row>
    <row r="250">
      <c r="A250" s="1" t="s">
        <v>541</v>
      </c>
      <c r="B250" s="1" t="s">
        <v>542</v>
      </c>
      <c r="C250" s="1" t="s">
        <v>543</v>
      </c>
      <c r="D250" s="1">
        <v>16365.0</v>
      </c>
      <c r="E250" s="1">
        <v>15836.0</v>
      </c>
      <c r="F250" s="2">
        <f t="shared" si="1"/>
        <v>0</v>
      </c>
      <c r="G250" s="1">
        <v>16365.0</v>
      </c>
      <c r="H250" s="1">
        <v>15836.0</v>
      </c>
      <c r="O250" s="2">
        <f>LEN(C250) - LEN(SUBSTITUTE(C250, ";", "")) + 1</f>
        <v>6</v>
      </c>
      <c r="P250" s="2">
        <f>LEN(B250) - LEN(SUBSTITUTE(B250, ";", "")) + 1</f>
        <v>6</v>
      </c>
      <c r="R250" s="2">
        <f>IF(B250 = C250, 0, 1)</f>
        <v>1</v>
      </c>
    </row>
    <row r="251" hidden="1">
      <c r="A251" s="1" t="s">
        <v>544</v>
      </c>
      <c r="D251" s="1">
        <v>-1.0</v>
      </c>
      <c r="E251" s="1">
        <v>-1.0</v>
      </c>
      <c r="F251" s="2">
        <f t="shared" si="1"/>
        <v>1</v>
      </c>
    </row>
    <row r="252" hidden="1">
      <c r="A252" s="1" t="s">
        <v>545</v>
      </c>
      <c r="D252" s="1">
        <v>-1.0</v>
      </c>
      <c r="E252" s="1">
        <v>-1.0</v>
      </c>
      <c r="F252" s="2">
        <f t="shared" si="1"/>
        <v>1</v>
      </c>
    </row>
    <row r="253" hidden="1">
      <c r="A253" s="1" t="s">
        <v>546</v>
      </c>
      <c r="D253" s="1">
        <v>-1.0</v>
      </c>
      <c r="E253" s="1">
        <v>-1.0</v>
      </c>
      <c r="F253" s="2">
        <f t="shared" si="1"/>
        <v>1</v>
      </c>
    </row>
    <row r="254">
      <c r="A254" s="1" t="s">
        <v>547</v>
      </c>
      <c r="B254" s="1" t="s">
        <v>548</v>
      </c>
      <c r="C254" s="1" t="s">
        <v>548</v>
      </c>
      <c r="D254" s="1">
        <v>300.0</v>
      </c>
      <c r="E254" s="1">
        <v>300.0</v>
      </c>
      <c r="F254" s="2">
        <f t="shared" si="1"/>
        <v>1</v>
      </c>
      <c r="G254" s="1">
        <v>300.0</v>
      </c>
      <c r="H254" s="1">
        <v>300.0</v>
      </c>
      <c r="O254" s="2">
        <f t="shared" ref="O254:O265" si="131">LEN(C254) - LEN(SUBSTITUTE(C254, ";", "")) + 1</f>
        <v>2</v>
      </c>
      <c r="P254" s="2">
        <f t="shared" ref="P254:P265" si="132">LEN(B254) - LEN(SUBSTITUTE(B254, ";", "")) + 1</f>
        <v>2</v>
      </c>
      <c r="R254" s="2">
        <f t="shared" ref="R254:R265" si="133">IF(B254 = C254, 0, 1)</f>
        <v>0</v>
      </c>
    </row>
    <row r="255">
      <c r="A255" s="1" t="s">
        <v>549</v>
      </c>
      <c r="B255" s="1" t="s">
        <v>550</v>
      </c>
      <c r="C255" s="1" t="s">
        <v>551</v>
      </c>
      <c r="D255" s="1">
        <v>268.0</v>
      </c>
      <c r="E255" s="1">
        <v>300.0</v>
      </c>
      <c r="F255" s="2">
        <f t="shared" si="1"/>
        <v>0</v>
      </c>
      <c r="G255" s="1">
        <v>268.0</v>
      </c>
      <c r="H255" s="1">
        <v>300.0</v>
      </c>
      <c r="O255" s="2">
        <f t="shared" si="131"/>
        <v>16</v>
      </c>
      <c r="P255" s="2">
        <f t="shared" si="132"/>
        <v>16</v>
      </c>
      <c r="R255" s="2">
        <f t="shared" si="133"/>
        <v>1</v>
      </c>
    </row>
    <row r="256">
      <c r="A256" s="1" t="s">
        <v>552</v>
      </c>
      <c r="B256" s="1" t="s">
        <v>553</v>
      </c>
      <c r="C256" s="1" t="s">
        <v>554</v>
      </c>
      <c r="D256" s="1">
        <v>60.0</v>
      </c>
      <c r="E256" s="1">
        <v>60.0</v>
      </c>
      <c r="F256" s="2">
        <f t="shared" si="1"/>
        <v>0</v>
      </c>
      <c r="G256" s="1">
        <v>60.0</v>
      </c>
      <c r="H256" s="1">
        <v>60.0</v>
      </c>
      <c r="O256" s="2">
        <f t="shared" si="131"/>
        <v>3</v>
      </c>
      <c r="P256" s="2">
        <f t="shared" si="132"/>
        <v>3</v>
      </c>
      <c r="R256" s="2">
        <f t="shared" si="133"/>
        <v>1</v>
      </c>
    </row>
    <row r="257">
      <c r="A257" s="1" t="s">
        <v>555</v>
      </c>
      <c r="B257" s="1" t="s">
        <v>556</v>
      </c>
      <c r="C257" s="1" t="s">
        <v>557</v>
      </c>
      <c r="D257" s="1">
        <v>300.0</v>
      </c>
      <c r="E257" s="1">
        <v>165.0</v>
      </c>
      <c r="F257" s="2">
        <f t="shared" si="1"/>
        <v>0</v>
      </c>
      <c r="G257" s="1">
        <v>300.0</v>
      </c>
      <c r="H257" s="1">
        <v>165.0</v>
      </c>
      <c r="O257" s="2">
        <f t="shared" si="131"/>
        <v>2</v>
      </c>
      <c r="P257" s="2">
        <f t="shared" si="132"/>
        <v>2</v>
      </c>
      <c r="R257" s="2">
        <f t="shared" si="133"/>
        <v>1</v>
      </c>
    </row>
    <row r="258">
      <c r="A258" s="1" t="s">
        <v>558</v>
      </c>
      <c r="B258" s="1" t="s">
        <v>253</v>
      </c>
      <c r="C258" s="1" t="s">
        <v>253</v>
      </c>
      <c r="D258" s="1">
        <v>3600.0</v>
      </c>
      <c r="E258" s="1">
        <v>2237.0</v>
      </c>
      <c r="F258" s="2">
        <f t="shared" si="1"/>
        <v>1</v>
      </c>
      <c r="G258" s="1">
        <v>3600.0</v>
      </c>
      <c r="H258" s="1">
        <v>2237.0</v>
      </c>
      <c r="O258" s="2">
        <f t="shared" si="131"/>
        <v>1</v>
      </c>
      <c r="P258" s="2">
        <f t="shared" si="132"/>
        <v>1</v>
      </c>
      <c r="R258" s="2">
        <f t="shared" si="133"/>
        <v>0</v>
      </c>
    </row>
    <row r="259">
      <c r="A259" s="1" t="s">
        <v>559</v>
      </c>
      <c r="B259" s="1" t="s">
        <v>560</v>
      </c>
      <c r="C259" s="1" t="s">
        <v>560</v>
      </c>
      <c r="D259" s="1">
        <v>3600.0</v>
      </c>
      <c r="E259" s="1">
        <v>2919.0</v>
      </c>
      <c r="F259" s="2">
        <f t="shared" si="1"/>
        <v>1</v>
      </c>
      <c r="G259" s="1">
        <v>3600.0</v>
      </c>
      <c r="H259" s="1">
        <v>2919.0</v>
      </c>
      <c r="O259" s="2">
        <f t="shared" si="131"/>
        <v>1</v>
      </c>
      <c r="P259" s="2">
        <f t="shared" si="132"/>
        <v>1</v>
      </c>
      <c r="R259" s="2">
        <f t="shared" si="133"/>
        <v>0</v>
      </c>
    </row>
    <row r="260">
      <c r="A260" s="1" t="s">
        <v>561</v>
      </c>
      <c r="B260" s="1" t="s">
        <v>163</v>
      </c>
      <c r="C260" s="1" t="s">
        <v>562</v>
      </c>
      <c r="D260" s="1">
        <v>300.0</v>
      </c>
      <c r="E260" s="1">
        <v>300.0</v>
      </c>
      <c r="F260" s="2">
        <f t="shared" si="1"/>
        <v>0</v>
      </c>
      <c r="G260" s="1">
        <v>300.0</v>
      </c>
      <c r="H260" s="1">
        <v>300.0</v>
      </c>
      <c r="O260" s="2">
        <f t="shared" si="131"/>
        <v>1</v>
      </c>
      <c r="P260" s="2">
        <f t="shared" si="132"/>
        <v>1</v>
      </c>
      <c r="R260" s="2">
        <f t="shared" si="133"/>
        <v>1</v>
      </c>
    </row>
    <row r="261">
      <c r="A261" s="1" t="s">
        <v>563</v>
      </c>
      <c r="B261" s="1" t="s">
        <v>564</v>
      </c>
      <c r="C261" s="1" t="s">
        <v>564</v>
      </c>
      <c r="D261" s="1">
        <v>300.0</v>
      </c>
      <c r="E261" s="1">
        <v>300.0</v>
      </c>
      <c r="F261" s="2">
        <f t="shared" si="1"/>
        <v>1</v>
      </c>
      <c r="G261" s="1">
        <v>300.0</v>
      </c>
      <c r="H261" s="1">
        <v>300.0</v>
      </c>
      <c r="O261" s="2">
        <f t="shared" si="131"/>
        <v>2</v>
      </c>
      <c r="P261" s="2">
        <f t="shared" si="132"/>
        <v>2</v>
      </c>
      <c r="R261" s="2">
        <f t="shared" si="133"/>
        <v>0</v>
      </c>
    </row>
    <row r="262">
      <c r="A262" s="1" t="s">
        <v>565</v>
      </c>
      <c r="B262" s="1" t="s">
        <v>566</v>
      </c>
      <c r="C262" s="1" t="s">
        <v>566</v>
      </c>
      <c r="D262" s="1">
        <v>60.0</v>
      </c>
      <c r="E262" s="1">
        <v>26.0</v>
      </c>
      <c r="F262" s="2">
        <f t="shared" si="1"/>
        <v>1</v>
      </c>
      <c r="G262" s="1">
        <v>60.0</v>
      </c>
      <c r="H262" s="1">
        <v>26.0</v>
      </c>
      <c r="O262" s="2">
        <f t="shared" si="131"/>
        <v>2</v>
      </c>
      <c r="P262" s="2">
        <f t="shared" si="132"/>
        <v>2</v>
      </c>
      <c r="R262" s="2">
        <f t="shared" si="133"/>
        <v>0</v>
      </c>
    </row>
    <row r="263">
      <c r="A263" s="1" t="s">
        <v>567</v>
      </c>
      <c r="B263" s="1" t="s">
        <v>568</v>
      </c>
      <c r="C263" s="1" t="s">
        <v>569</v>
      </c>
      <c r="D263" s="1">
        <v>300.0</v>
      </c>
      <c r="E263" s="1">
        <v>300.0</v>
      </c>
      <c r="F263" s="2">
        <f t="shared" si="1"/>
        <v>0</v>
      </c>
      <c r="G263" s="1">
        <v>300.0</v>
      </c>
      <c r="H263" s="1">
        <v>300.0</v>
      </c>
      <c r="O263" s="2">
        <f t="shared" si="131"/>
        <v>2</v>
      </c>
      <c r="P263" s="2">
        <f t="shared" si="132"/>
        <v>2</v>
      </c>
      <c r="R263" s="2">
        <f t="shared" si="133"/>
        <v>1</v>
      </c>
    </row>
    <row r="264">
      <c r="A264" s="1" t="s">
        <v>570</v>
      </c>
      <c r="B264" s="1" t="s">
        <v>571</v>
      </c>
      <c r="C264" s="1" t="s">
        <v>571</v>
      </c>
      <c r="D264" s="1">
        <v>600.0</v>
      </c>
      <c r="E264" s="1">
        <v>600.0</v>
      </c>
      <c r="F264" s="2">
        <f t="shared" si="1"/>
        <v>1</v>
      </c>
      <c r="G264" s="1">
        <v>600.0</v>
      </c>
      <c r="H264" s="1">
        <v>600.0</v>
      </c>
      <c r="O264" s="2">
        <f t="shared" si="131"/>
        <v>1</v>
      </c>
      <c r="P264" s="2">
        <f t="shared" si="132"/>
        <v>1</v>
      </c>
      <c r="R264" s="2">
        <f t="shared" si="133"/>
        <v>0</v>
      </c>
    </row>
    <row r="265">
      <c r="A265" s="1" t="s">
        <v>572</v>
      </c>
      <c r="B265" s="1" t="s">
        <v>573</v>
      </c>
      <c r="C265" s="1" t="s">
        <v>573</v>
      </c>
      <c r="D265" s="1">
        <v>600.0</v>
      </c>
      <c r="E265" s="1">
        <v>600.0</v>
      </c>
      <c r="F265" s="2">
        <f t="shared" si="1"/>
        <v>1</v>
      </c>
      <c r="G265" s="1">
        <v>600.0</v>
      </c>
      <c r="H265" s="1">
        <v>600.0</v>
      </c>
      <c r="O265" s="2">
        <f t="shared" si="131"/>
        <v>1</v>
      </c>
      <c r="P265" s="2">
        <f t="shared" si="132"/>
        <v>1</v>
      </c>
      <c r="R265" s="2">
        <f t="shared" si="133"/>
        <v>0</v>
      </c>
    </row>
    <row r="266" hidden="1">
      <c r="A266" s="1" t="s">
        <v>574</v>
      </c>
      <c r="D266" s="1">
        <v>-1.0</v>
      </c>
      <c r="E266" s="1">
        <v>-1.0</v>
      </c>
      <c r="F266" s="2">
        <f t="shared" si="1"/>
        <v>1</v>
      </c>
    </row>
    <row r="267">
      <c r="A267" s="1" t="s">
        <v>575</v>
      </c>
      <c r="B267" s="1" t="s">
        <v>576</v>
      </c>
      <c r="C267" s="1" t="s">
        <v>577</v>
      </c>
      <c r="D267" s="1">
        <v>11.0</v>
      </c>
      <c r="E267" s="1">
        <v>300.0</v>
      </c>
      <c r="F267" s="2">
        <f t="shared" si="1"/>
        <v>0</v>
      </c>
      <c r="G267" s="1">
        <v>11.0</v>
      </c>
      <c r="H267" s="1">
        <v>300.0</v>
      </c>
      <c r="O267" s="2">
        <f t="shared" ref="O267:O268" si="134">LEN(C267) - LEN(SUBSTITUTE(C267, ";", "")) + 1</f>
        <v>16</v>
      </c>
      <c r="P267" s="2">
        <f t="shared" ref="P267:P268" si="135">LEN(B267) - LEN(SUBSTITUTE(B267, ";", "")) + 1</f>
        <v>16</v>
      </c>
      <c r="R267" s="2">
        <f t="shared" ref="R267:R268" si="136">IF(B267 = C267, 0, 1)</f>
        <v>1</v>
      </c>
    </row>
    <row r="268">
      <c r="A268" s="1" t="s">
        <v>578</v>
      </c>
      <c r="B268" s="1" t="s">
        <v>579</v>
      </c>
      <c r="C268" s="1" t="s">
        <v>580</v>
      </c>
      <c r="D268" s="1">
        <v>263.0</v>
      </c>
      <c r="E268" s="1">
        <v>300.0</v>
      </c>
      <c r="F268" s="2">
        <f t="shared" si="1"/>
        <v>0</v>
      </c>
      <c r="G268" s="1">
        <v>263.0</v>
      </c>
      <c r="H268" s="1">
        <v>300.0</v>
      </c>
      <c r="O268" s="2">
        <f t="shared" si="134"/>
        <v>16</v>
      </c>
      <c r="P268" s="2">
        <f t="shared" si="135"/>
        <v>16</v>
      </c>
      <c r="R268" s="2">
        <f t="shared" si="136"/>
        <v>1</v>
      </c>
    </row>
    <row r="269" hidden="1">
      <c r="A269" s="1" t="s">
        <v>581</v>
      </c>
      <c r="D269" s="1">
        <v>-1.0</v>
      </c>
      <c r="E269" s="1">
        <v>-1.0</v>
      </c>
      <c r="F269" s="2">
        <f t="shared" si="1"/>
        <v>1</v>
      </c>
    </row>
    <row r="270">
      <c r="A270" s="1" t="s">
        <v>582</v>
      </c>
      <c r="B270" s="1" t="s">
        <v>583</v>
      </c>
      <c r="C270" s="1" t="s">
        <v>584</v>
      </c>
      <c r="D270" s="1">
        <v>60.0</v>
      </c>
      <c r="E270" s="1">
        <v>60.0</v>
      </c>
      <c r="F270" s="2">
        <f t="shared" si="1"/>
        <v>0</v>
      </c>
      <c r="G270" s="1">
        <v>60.0</v>
      </c>
      <c r="H270" s="1">
        <v>60.0</v>
      </c>
      <c r="O270" s="2">
        <f t="shared" ref="O270:O274" si="137">LEN(C270) - LEN(SUBSTITUTE(C270, ";", "")) + 1</f>
        <v>1</v>
      </c>
      <c r="P270" s="2">
        <f t="shared" ref="P270:P274" si="138">LEN(B270) - LEN(SUBSTITUTE(B270, ";", "")) + 1</f>
        <v>1</v>
      </c>
      <c r="R270" s="2">
        <f t="shared" ref="R270:R274" si="139">IF(B270 = C270, 0, 1)</f>
        <v>1</v>
      </c>
    </row>
    <row r="271">
      <c r="A271" s="1" t="s">
        <v>585</v>
      </c>
      <c r="B271" s="1" t="s">
        <v>586</v>
      </c>
      <c r="C271" s="1" t="s">
        <v>586</v>
      </c>
      <c r="D271" s="1">
        <v>300.0</v>
      </c>
      <c r="E271" s="1">
        <v>14.0</v>
      </c>
      <c r="F271" s="2">
        <f t="shared" si="1"/>
        <v>1</v>
      </c>
      <c r="G271" s="1">
        <v>300.0</v>
      </c>
      <c r="H271" s="1">
        <v>14.0</v>
      </c>
      <c r="O271" s="2">
        <f t="shared" si="137"/>
        <v>1</v>
      </c>
      <c r="P271" s="2">
        <f t="shared" si="138"/>
        <v>1</v>
      </c>
      <c r="R271" s="2">
        <f t="shared" si="139"/>
        <v>0</v>
      </c>
    </row>
    <row r="272">
      <c r="A272" s="1" t="s">
        <v>587</v>
      </c>
      <c r="B272" s="1" t="s">
        <v>588</v>
      </c>
      <c r="C272" s="1" t="s">
        <v>589</v>
      </c>
      <c r="D272" s="1">
        <v>60.0</v>
      </c>
      <c r="E272" s="1">
        <v>34.0</v>
      </c>
      <c r="F272" s="2">
        <f t="shared" si="1"/>
        <v>0</v>
      </c>
      <c r="G272" s="1">
        <v>60.0</v>
      </c>
      <c r="H272" s="1">
        <v>34.0</v>
      </c>
      <c r="O272" s="2">
        <f t="shared" si="137"/>
        <v>4</v>
      </c>
      <c r="P272" s="2">
        <f t="shared" si="138"/>
        <v>4</v>
      </c>
      <c r="R272" s="2">
        <f t="shared" si="139"/>
        <v>1</v>
      </c>
    </row>
    <row r="273">
      <c r="A273" s="1" t="s">
        <v>590</v>
      </c>
      <c r="B273" s="1" t="s">
        <v>591</v>
      </c>
      <c r="C273" s="1" t="s">
        <v>592</v>
      </c>
      <c r="D273" s="1">
        <v>60.0</v>
      </c>
      <c r="E273" s="1">
        <v>60.0</v>
      </c>
      <c r="F273" s="2">
        <f t="shared" si="1"/>
        <v>0</v>
      </c>
      <c r="G273" s="1">
        <v>60.0</v>
      </c>
      <c r="H273" s="1">
        <v>60.0</v>
      </c>
      <c r="O273" s="2">
        <f t="shared" si="137"/>
        <v>4</v>
      </c>
      <c r="P273" s="2">
        <f t="shared" si="138"/>
        <v>4</v>
      </c>
      <c r="R273" s="2">
        <f t="shared" si="139"/>
        <v>1</v>
      </c>
    </row>
    <row r="274">
      <c r="A274" s="1" t="s">
        <v>593</v>
      </c>
      <c r="B274" s="1" t="s">
        <v>594</v>
      </c>
      <c r="C274" s="1" t="s">
        <v>595</v>
      </c>
      <c r="D274" s="1">
        <v>60.0</v>
      </c>
      <c r="E274" s="1">
        <v>60.0</v>
      </c>
      <c r="F274" s="2">
        <f t="shared" si="1"/>
        <v>0</v>
      </c>
      <c r="G274" s="1">
        <v>60.0</v>
      </c>
      <c r="H274" s="1">
        <v>60.0</v>
      </c>
      <c r="O274" s="2">
        <f t="shared" si="137"/>
        <v>3</v>
      </c>
      <c r="P274" s="2">
        <f t="shared" si="138"/>
        <v>3</v>
      </c>
      <c r="R274" s="2">
        <f t="shared" si="139"/>
        <v>1</v>
      </c>
    </row>
    <row r="275" hidden="1">
      <c r="A275" s="1" t="s">
        <v>596</v>
      </c>
      <c r="D275" s="1">
        <v>-1.0</v>
      </c>
      <c r="E275" s="1">
        <v>-1.0</v>
      </c>
      <c r="F275" s="2">
        <f t="shared" si="1"/>
        <v>1</v>
      </c>
    </row>
    <row r="276">
      <c r="A276" s="1" t="s">
        <v>597</v>
      </c>
      <c r="B276" s="1" t="s">
        <v>598</v>
      </c>
      <c r="C276" s="1" t="s">
        <v>598</v>
      </c>
      <c r="D276" s="1">
        <v>300.0</v>
      </c>
      <c r="E276" s="1">
        <v>300.0</v>
      </c>
      <c r="F276" s="2">
        <f t="shared" si="1"/>
        <v>1</v>
      </c>
      <c r="G276" s="1">
        <v>300.0</v>
      </c>
      <c r="H276" s="1">
        <v>300.0</v>
      </c>
      <c r="O276" s="2">
        <f t="shared" ref="O276:O277" si="140">LEN(C276) - LEN(SUBSTITUTE(C276, ";", "")) + 1</f>
        <v>1</v>
      </c>
      <c r="P276" s="2">
        <f t="shared" ref="P276:P277" si="141">LEN(B276) - LEN(SUBSTITUTE(B276, ";", "")) + 1</f>
        <v>1</v>
      </c>
      <c r="R276" s="2">
        <f t="shared" ref="R276:R277" si="142">IF(B276 = C276, 0, 1)</f>
        <v>0</v>
      </c>
    </row>
    <row r="277">
      <c r="A277" s="1" t="s">
        <v>599</v>
      </c>
      <c r="B277" s="1" t="s">
        <v>600</v>
      </c>
      <c r="C277" s="1" t="s">
        <v>601</v>
      </c>
      <c r="D277" s="1">
        <v>600.0</v>
      </c>
      <c r="E277" s="1">
        <v>532.0</v>
      </c>
      <c r="F277" s="2">
        <f t="shared" si="1"/>
        <v>0</v>
      </c>
      <c r="G277" s="1">
        <v>600.0</v>
      </c>
      <c r="H277" s="1">
        <v>532.0</v>
      </c>
      <c r="O277" s="2">
        <f t="shared" si="140"/>
        <v>2</v>
      </c>
      <c r="P277" s="2">
        <f t="shared" si="141"/>
        <v>2</v>
      </c>
      <c r="R277" s="2">
        <f t="shared" si="142"/>
        <v>1</v>
      </c>
    </row>
    <row r="278" hidden="1">
      <c r="A278" s="1" t="s">
        <v>602</v>
      </c>
      <c r="D278" s="1">
        <v>-1.0</v>
      </c>
      <c r="E278" s="1">
        <v>-1.0</v>
      </c>
      <c r="F278" s="2">
        <f t="shared" si="1"/>
        <v>1</v>
      </c>
    </row>
    <row r="279">
      <c r="A279" s="1" t="s">
        <v>603</v>
      </c>
      <c r="B279" s="1" t="s">
        <v>604</v>
      </c>
      <c r="C279" s="1" t="s">
        <v>604</v>
      </c>
      <c r="D279" s="1">
        <v>30.0</v>
      </c>
      <c r="E279" s="1">
        <v>30.0</v>
      </c>
      <c r="F279" s="2">
        <f t="shared" si="1"/>
        <v>1</v>
      </c>
      <c r="G279" s="1">
        <v>30.0</v>
      </c>
      <c r="H279" s="1">
        <v>30.0</v>
      </c>
      <c r="O279" s="2">
        <f t="shared" ref="O279:O280" si="143">LEN(C279) - LEN(SUBSTITUTE(C279, ";", "")) + 1</f>
        <v>1</v>
      </c>
      <c r="P279" s="2">
        <f t="shared" ref="P279:P280" si="144">LEN(B279) - LEN(SUBSTITUTE(B279, ";", "")) + 1</f>
        <v>1</v>
      </c>
      <c r="R279" s="2">
        <f t="shared" ref="R279:R280" si="145">IF(B279 = C279, 0, 1)</f>
        <v>0</v>
      </c>
    </row>
    <row r="280">
      <c r="A280" s="1" t="s">
        <v>605</v>
      </c>
      <c r="B280" s="1" t="s">
        <v>606</v>
      </c>
      <c r="C280" s="1" t="s">
        <v>607</v>
      </c>
      <c r="D280" s="1">
        <v>300.0</v>
      </c>
      <c r="E280" s="1">
        <v>12.0</v>
      </c>
      <c r="F280" s="2">
        <f t="shared" si="1"/>
        <v>0</v>
      </c>
      <c r="G280" s="1">
        <v>300.0</v>
      </c>
      <c r="H280" s="1">
        <v>12.0</v>
      </c>
      <c r="O280" s="2">
        <f t="shared" si="143"/>
        <v>2</v>
      </c>
      <c r="P280" s="2">
        <f t="shared" si="144"/>
        <v>2</v>
      </c>
      <c r="R280" s="2">
        <f t="shared" si="145"/>
        <v>1</v>
      </c>
    </row>
    <row r="281" hidden="1">
      <c r="A281" s="1" t="s">
        <v>608</v>
      </c>
      <c r="D281" s="1">
        <v>-1.0</v>
      </c>
      <c r="E281" s="1">
        <v>-1.0</v>
      </c>
      <c r="F281" s="2">
        <f t="shared" si="1"/>
        <v>1</v>
      </c>
    </row>
    <row r="282" hidden="1">
      <c r="A282" s="1" t="s">
        <v>609</v>
      </c>
      <c r="D282" s="1">
        <v>-1.0</v>
      </c>
      <c r="E282" s="1">
        <v>-1.0</v>
      </c>
      <c r="F282" s="2">
        <f t="shared" si="1"/>
        <v>1</v>
      </c>
    </row>
    <row r="283">
      <c r="A283" s="1" t="s">
        <v>610</v>
      </c>
      <c r="B283" s="1" t="s">
        <v>611</v>
      </c>
      <c r="C283" s="1" t="s">
        <v>612</v>
      </c>
      <c r="D283" s="1">
        <v>106.0</v>
      </c>
      <c r="E283" s="1">
        <v>300.0</v>
      </c>
      <c r="F283" s="2">
        <f t="shared" si="1"/>
        <v>0</v>
      </c>
      <c r="G283" s="1">
        <v>106.0</v>
      </c>
      <c r="H283" s="1">
        <v>300.0</v>
      </c>
      <c r="O283" s="2">
        <f t="shared" ref="O283:O297" si="146">LEN(C283) - LEN(SUBSTITUTE(C283, ";", "")) + 1</f>
        <v>16</v>
      </c>
      <c r="P283" s="2">
        <f t="shared" ref="P283:P297" si="147">LEN(B283) - LEN(SUBSTITUTE(B283, ";", "")) + 1</f>
        <v>16</v>
      </c>
      <c r="R283" s="2">
        <f t="shared" ref="R283:R297" si="148">IF(B283 = C283, 0, 1)</f>
        <v>1</v>
      </c>
    </row>
    <row r="284">
      <c r="A284" s="1" t="s">
        <v>613</v>
      </c>
      <c r="B284" s="1" t="s">
        <v>614</v>
      </c>
      <c r="C284" s="1" t="s">
        <v>615</v>
      </c>
      <c r="D284" s="1">
        <v>211.0</v>
      </c>
      <c r="E284" s="1">
        <v>300.0</v>
      </c>
      <c r="F284" s="2">
        <f t="shared" si="1"/>
        <v>0</v>
      </c>
      <c r="G284" s="1">
        <v>211.0</v>
      </c>
      <c r="H284" s="1">
        <v>300.0</v>
      </c>
      <c r="O284" s="2">
        <f t="shared" si="146"/>
        <v>16</v>
      </c>
      <c r="P284" s="2">
        <f t="shared" si="147"/>
        <v>16</v>
      </c>
      <c r="R284" s="2">
        <f t="shared" si="148"/>
        <v>1</v>
      </c>
    </row>
    <row r="285">
      <c r="A285" s="1" t="s">
        <v>616</v>
      </c>
      <c r="B285" s="1" t="s">
        <v>14</v>
      </c>
      <c r="C285" s="1" t="s">
        <v>201</v>
      </c>
      <c r="D285" s="1">
        <v>257.0</v>
      </c>
      <c r="E285" s="1">
        <v>300.0</v>
      </c>
      <c r="F285" s="2">
        <f t="shared" si="1"/>
        <v>0</v>
      </c>
      <c r="G285" s="1">
        <v>257.0</v>
      </c>
      <c r="H285" s="1">
        <v>300.0</v>
      </c>
      <c r="O285" s="2">
        <f t="shared" si="146"/>
        <v>1</v>
      </c>
      <c r="P285" s="2">
        <f t="shared" si="147"/>
        <v>1</v>
      </c>
      <c r="R285" s="2">
        <f t="shared" si="148"/>
        <v>1</v>
      </c>
    </row>
    <row r="286">
      <c r="A286" s="1" t="s">
        <v>617</v>
      </c>
      <c r="B286" s="1" t="s">
        <v>618</v>
      </c>
      <c r="C286" s="1" t="s">
        <v>619</v>
      </c>
      <c r="D286" s="1">
        <v>51.0</v>
      </c>
      <c r="E286" s="1">
        <v>300.0</v>
      </c>
      <c r="F286" s="2">
        <f t="shared" si="1"/>
        <v>0</v>
      </c>
      <c r="G286" s="1">
        <v>51.0</v>
      </c>
      <c r="H286" s="1">
        <v>300.0</v>
      </c>
      <c r="O286" s="2">
        <f t="shared" si="146"/>
        <v>1</v>
      </c>
      <c r="P286" s="2">
        <f t="shared" si="147"/>
        <v>1</v>
      </c>
      <c r="R286" s="2">
        <f t="shared" si="148"/>
        <v>1</v>
      </c>
    </row>
    <row r="287">
      <c r="A287" s="1" t="s">
        <v>620</v>
      </c>
      <c r="B287" s="1" t="s">
        <v>621</v>
      </c>
      <c r="C287" s="1" t="s">
        <v>622</v>
      </c>
      <c r="D287" s="1">
        <v>300.0</v>
      </c>
      <c r="E287" s="1">
        <v>300.0</v>
      </c>
      <c r="F287" s="2">
        <f t="shared" si="1"/>
        <v>0</v>
      </c>
      <c r="G287" s="1">
        <v>300.0</v>
      </c>
      <c r="H287" s="1">
        <v>300.0</v>
      </c>
      <c r="O287" s="2">
        <f t="shared" si="146"/>
        <v>3</v>
      </c>
      <c r="P287" s="2">
        <f t="shared" si="147"/>
        <v>3</v>
      </c>
      <c r="R287" s="2">
        <f t="shared" si="148"/>
        <v>1</v>
      </c>
    </row>
    <row r="288">
      <c r="A288" s="1" t="s">
        <v>623</v>
      </c>
      <c r="B288" s="1" t="s">
        <v>624</v>
      </c>
      <c r="C288" s="1" t="s">
        <v>625</v>
      </c>
      <c r="D288" s="1">
        <v>251.0</v>
      </c>
      <c r="E288" s="1">
        <v>300.0</v>
      </c>
      <c r="F288" s="2">
        <f t="shared" si="1"/>
        <v>0</v>
      </c>
      <c r="G288" s="1">
        <v>251.0</v>
      </c>
      <c r="H288" s="1">
        <v>300.0</v>
      </c>
      <c r="O288" s="2">
        <f t="shared" si="146"/>
        <v>15</v>
      </c>
      <c r="P288" s="2">
        <f t="shared" si="147"/>
        <v>16</v>
      </c>
      <c r="R288" s="2">
        <f t="shared" si="148"/>
        <v>1</v>
      </c>
    </row>
    <row r="289">
      <c r="A289" s="1" t="s">
        <v>626</v>
      </c>
      <c r="B289" s="1" t="s">
        <v>627</v>
      </c>
      <c r="C289" s="1" t="s">
        <v>628</v>
      </c>
      <c r="D289" s="1">
        <v>5.0</v>
      </c>
      <c r="E289" s="1">
        <v>300.0</v>
      </c>
      <c r="F289" s="2">
        <f t="shared" si="1"/>
        <v>0</v>
      </c>
      <c r="G289" s="1">
        <v>5.0</v>
      </c>
      <c r="H289" s="1">
        <v>300.0</v>
      </c>
      <c r="O289" s="2">
        <f t="shared" si="146"/>
        <v>16</v>
      </c>
      <c r="P289" s="2">
        <f t="shared" si="147"/>
        <v>16</v>
      </c>
      <c r="R289" s="2">
        <f t="shared" si="148"/>
        <v>1</v>
      </c>
    </row>
    <row r="290">
      <c r="A290" s="1" t="s">
        <v>629</v>
      </c>
      <c r="B290" s="1" t="s">
        <v>630</v>
      </c>
      <c r="C290" s="1" t="s">
        <v>630</v>
      </c>
      <c r="D290" s="1">
        <v>300.0</v>
      </c>
      <c r="E290" s="1">
        <v>300.0</v>
      </c>
      <c r="F290" s="2">
        <f t="shared" si="1"/>
        <v>1</v>
      </c>
      <c r="G290" s="1">
        <v>300.0</v>
      </c>
      <c r="H290" s="1">
        <v>300.0</v>
      </c>
      <c r="O290" s="2">
        <f t="shared" si="146"/>
        <v>2</v>
      </c>
      <c r="P290" s="2">
        <f t="shared" si="147"/>
        <v>2</v>
      </c>
      <c r="R290" s="2">
        <f t="shared" si="148"/>
        <v>0</v>
      </c>
    </row>
    <row r="291">
      <c r="A291" s="1" t="s">
        <v>631</v>
      </c>
      <c r="B291" s="1" t="s">
        <v>632</v>
      </c>
      <c r="C291" s="1" t="s">
        <v>632</v>
      </c>
      <c r="D291" s="1">
        <v>300.0</v>
      </c>
      <c r="E291" s="1">
        <v>300.0</v>
      </c>
      <c r="F291" s="2">
        <f t="shared" si="1"/>
        <v>1</v>
      </c>
      <c r="G291" s="1">
        <v>300.0</v>
      </c>
      <c r="H291" s="1">
        <v>300.0</v>
      </c>
      <c r="O291" s="2">
        <f t="shared" si="146"/>
        <v>1</v>
      </c>
      <c r="P291" s="2">
        <f t="shared" si="147"/>
        <v>1</v>
      </c>
      <c r="R291" s="2">
        <f t="shared" si="148"/>
        <v>0</v>
      </c>
    </row>
    <row r="292">
      <c r="A292" s="1" t="s">
        <v>633</v>
      </c>
      <c r="B292" s="1" t="s">
        <v>634</v>
      </c>
      <c r="C292" s="1" t="s">
        <v>634</v>
      </c>
      <c r="D292" s="1">
        <v>60.0</v>
      </c>
      <c r="E292" s="1">
        <v>60.0</v>
      </c>
      <c r="F292" s="2">
        <f t="shared" si="1"/>
        <v>1</v>
      </c>
      <c r="G292" s="1">
        <v>60.0</v>
      </c>
      <c r="H292" s="1">
        <v>60.0</v>
      </c>
      <c r="O292" s="2">
        <f t="shared" si="146"/>
        <v>1</v>
      </c>
      <c r="P292" s="2">
        <f t="shared" si="147"/>
        <v>1</v>
      </c>
      <c r="R292" s="2">
        <f t="shared" si="148"/>
        <v>0</v>
      </c>
    </row>
    <row r="293">
      <c r="A293" s="1" t="s">
        <v>635</v>
      </c>
      <c r="B293" s="1" t="s">
        <v>636</v>
      </c>
      <c r="C293" s="1" t="s">
        <v>637</v>
      </c>
      <c r="D293" s="1">
        <v>600.0</v>
      </c>
      <c r="E293" s="1">
        <v>437.0</v>
      </c>
      <c r="F293" s="2">
        <f t="shared" si="1"/>
        <v>0</v>
      </c>
      <c r="G293" s="1">
        <v>600.0</v>
      </c>
      <c r="H293" s="1">
        <v>437.0</v>
      </c>
      <c r="O293" s="2">
        <f t="shared" si="146"/>
        <v>4</v>
      </c>
      <c r="P293" s="2">
        <f t="shared" si="147"/>
        <v>4</v>
      </c>
      <c r="R293" s="2">
        <f t="shared" si="148"/>
        <v>1</v>
      </c>
    </row>
    <row r="294">
      <c r="A294" s="1" t="s">
        <v>638</v>
      </c>
      <c r="B294" s="1" t="s">
        <v>639</v>
      </c>
      <c r="C294" s="1" t="s">
        <v>639</v>
      </c>
      <c r="D294" s="1">
        <v>300.0</v>
      </c>
      <c r="E294" s="1">
        <v>2.0</v>
      </c>
      <c r="F294" s="2">
        <f t="shared" si="1"/>
        <v>1</v>
      </c>
      <c r="G294" s="1">
        <v>300.0</v>
      </c>
      <c r="H294" s="1">
        <v>2.0</v>
      </c>
      <c r="O294" s="2">
        <f t="shared" si="146"/>
        <v>1</v>
      </c>
      <c r="P294" s="2">
        <f t="shared" si="147"/>
        <v>1</v>
      </c>
      <c r="R294" s="2">
        <f t="shared" si="148"/>
        <v>0</v>
      </c>
    </row>
    <row r="295">
      <c r="A295" s="1" t="s">
        <v>640</v>
      </c>
      <c r="B295" s="1" t="s">
        <v>641</v>
      </c>
      <c r="C295" s="1" t="s">
        <v>642</v>
      </c>
      <c r="D295" s="1">
        <v>300.0</v>
      </c>
      <c r="E295" s="1">
        <v>300.0</v>
      </c>
      <c r="F295" s="2">
        <f t="shared" si="1"/>
        <v>0</v>
      </c>
      <c r="G295" s="1">
        <v>300.0</v>
      </c>
      <c r="H295" s="1">
        <v>300.0</v>
      </c>
      <c r="O295" s="2">
        <f t="shared" si="146"/>
        <v>2</v>
      </c>
      <c r="P295" s="2">
        <f t="shared" si="147"/>
        <v>2</v>
      </c>
      <c r="R295" s="2">
        <f t="shared" si="148"/>
        <v>1</v>
      </c>
    </row>
    <row r="296">
      <c r="A296" s="1" t="s">
        <v>643</v>
      </c>
      <c r="B296" s="1" t="s">
        <v>644</v>
      </c>
      <c r="C296" s="1" t="s">
        <v>644</v>
      </c>
      <c r="D296" s="1">
        <v>300.0</v>
      </c>
      <c r="E296" s="1">
        <v>300.0</v>
      </c>
      <c r="F296" s="2">
        <f t="shared" si="1"/>
        <v>1</v>
      </c>
      <c r="G296" s="1">
        <v>300.0</v>
      </c>
      <c r="H296" s="1">
        <v>300.0</v>
      </c>
      <c r="O296" s="2">
        <f t="shared" si="146"/>
        <v>2</v>
      </c>
      <c r="P296" s="2">
        <f t="shared" si="147"/>
        <v>2</v>
      </c>
      <c r="R296" s="2">
        <f t="shared" si="148"/>
        <v>0</v>
      </c>
    </row>
    <row r="297">
      <c r="A297" s="1" t="s">
        <v>645</v>
      </c>
      <c r="B297" s="1" t="s">
        <v>646</v>
      </c>
      <c r="C297" s="1" t="s">
        <v>647</v>
      </c>
      <c r="D297" s="1">
        <v>300.0</v>
      </c>
      <c r="E297" s="1">
        <v>300.0</v>
      </c>
      <c r="F297" s="2">
        <f t="shared" si="1"/>
        <v>0</v>
      </c>
      <c r="G297" s="1">
        <v>300.0</v>
      </c>
      <c r="H297" s="1">
        <v>300.0</v>
      </c>
      <c r="O297" s="2">
        <f t="shared" si="146"/>
        <v>16</v>
      </c>
      <c r="P297" s="2">
        <f t="shared" si="147"/>
        <v>16</v>
      </c>
      <c r="R297" s="2">
        <f t="shared" si="148"/>
        <v>1</v>
      </c>
    </row>
    <row r="298" hidden="1">
      <c r="A298" s="1" t="s">
        <v>648</v>
      </c>
      <c r="D298" s="1">
        <v>-1.0</v>
      </c>
      <c r="E298" s="1">
        <v>-1.0</v>
      </c>
      <c r="F298" s="2">
        <f t="shared" si="1"/>
        <v>1</v>
      </c>
    </row>
    <row r="299">
      <c r="A299" s="1" t="s">
        <v>649</v>
      </c>
      <c r="B299" s="1" t="s">
        <v>650</v>
      </c>
      <c r="C299" s="1" t="s">
        <v>651</v>
      </c>
      <c r="D299" s="1">
        <v>3585.0</v>
      </c>
      <c r="E299" s="1">
        <v>17632.0</v>
      </c>
      <c r="F299" s="2">
        <f t="shared" si="1"/>
        <v>0</v>
      </c>
      <c r="G299" s="1">
        <v>3585.0</v>
      </c>
      <c r="H299" s="1">
        <v>17632.0</v>
      </c>
      <c r="O299" s="2">
        <f t="shared" ref="O299:O300" si="149">LEN(C299) - LEN(SUBSTITUTE(C299, ";", "")) + 1</f>
        <v>2</v>
      </c>
      <c r="P299" s="2">
        <f t="shared" ref="P299:P300" si="150">LEN(B299) - LEN(SUBSTITUTE(B299, ";", "")) + 1</f>
        <v>2</v>
      </c>
      <c r="R299" s="2">
        <f t="shared" ref="R299:R300" si="151">IF(B299 = C299, 0, 1)</f>
        <v>1</v>
      </c>
    </row>
    <row r="300">
      <c r="A300" s="1" t="s">
        <v>652</v>
      </c>
      <c r="B300" s="1" t="s">
        <v>653</v>
      </c>
      <c r="C300" s="1" t="s">
        <v>654</v>
      </c>
      <c r="D300" s="1">
        <v>18.0</v>
      </c>
      <c r="E300" s="1">
        <v>6.0</v>
      </c>
      <c r="F300" s="2">
        <f t="shared" si="1"/>
        <v>0</v>
      </c>
      <c r="G300" s="1">
        <v>18.0</v>
      </c>
      <c r="H300" s="1">
        <v>6.0</v>
      </c>
      <c r="O300" s="2">
        <f t="shared" si="149"/>
        <v>4</v>
      </c>
      <c r="P300" s="2">
        <f t="shared" si="150"/>
        <v>4</v>
      </c>
      <c r="R300" s="2">
        <f t="shared" si="151"/>
        <v>1</v>
      </c>
    </row>
    <row r="301" hidden="1">
      <c r="A301" s="1" t="s">
        <v>655</v>
      </c>
      <c r="D301" s="1">
        <v>-1.0</v>
      </c>
      <c r="E301" s="1">
        <v>-1.0</v>
      </c>
      <c r="F301" s="2">
        <f t="shared" si="1"/>
        <v>1</v>
      </c>
    </row>
    <row r="302">
      <c r="A302" s="1" t="s">
        <v>656</v>
      </c>
      <c r="B302" s="1" t="s">
        <v>657</v>
      </c>
      <c r="C302" s="1" t="s">
        <v>658</v>
      </c>
      <c r="D302" s="1">
        <v>75.0</v>
      </c>
      <c r="E302" s="1">
        <v>300.0</v>
      </c>
      <c r="F302" s="2">
        <f t="shared" si="1"/>
        <v>0</v>
      </c>
      <c r="G302" s="1">
        <v>75.0</v>
      </c>
      <c r="H302" s="1">
        <v>300.0</v>
      </c>
      <c r="O302" s="2">
        <f t="shared" ref="O302:O304" si="152">LEN(C302) - LEN(SUBSTITUTE(C302, ";", "")) + 1</f>
        <v>16</v>
      </c>
      <c r="P302" s="2">
        <f t="shared" ref="P302:P304" si="153">LEN(B302) - LEN(SUBSTITUTE(B302, ";", "")) + 1</f>
        <v>16</v>
      </c>
      <c r="R302" s="2">
        <f t="shared" ref="R302:R304" si="154">IF(B302 = C302, 0, 1)</f>
        <v>1</v>
      </c>
    </row>
    <row r="303">
      <c r="A303" s="1" t="s">
        <v>659</v>
      </c>
      <c r="B303" s="1" t="s">
        <v>660</v>
      </c>
      <c r="C303" s="1" t="s">
        <v>660</v>
      </c>
      <c r="D303" s="1">
        <v>300.0</v>
      </c>
      <c r="E303" s="1">
        <v>300.0</v>
      </c>
      <c r="F303" s="2">
        <f t="shared" si="1"/>
        <v>1</v>
      </c>
      <c r="G303" s="1">
        <v>300.0</v>
      </c>
      <c r="H303" s="1">
        <v>300.0</v>
      </c>
      <c r="O303" s="2">
        <f t="shared" si="152"/>
        <v>1</v>
      </c>
      <c r="P303" s="2">
        <f t="shared" si="153"/>
        <v>1</v>
      </c>
      <c r="R303" s="2">
        <f t="shared" si="154"/>
        <v>0</v>
      </c>
    </row>
    <row r="304">
      <c r="A304" s="1" t="s">
        <v>661</v>
      </c>
      <c r="B304" s="1" t="s">
        <v>662</v>
      </c>
      <c r="C304" s="1" t="s">
        <v>663</v>
      </c>
      <c r="D304" s="1">
        <v>300.0</v>
      </c>
      <c r="E304" s="1">
        <v>300.0</v>
      </c>
      <c r="F304" s="2">
        <f t="shared" si="1"/>
        <v>0</v>
      </c>
      <c r="G304" s="1">
        <v>300.0</v>
      </c>
      <c r="H304" s="1">
        <v>300.0</v>
      </c>
      <c r="O304" s="2">
        <f t="shared" si="152"/>
        <v>15</v>
      </c>
      <c r="P304" s="2">
        <f t="shared" si="153"/>
        <v>16</v>
      </c>
      <c r="R304" s="2">
        <f t="shared" si="154"/>
        <v>1</v>
      </c>
    </row>
    <row r="305" hidden="1">
      <c r="A305" s="1" t="s">
        <v>664</v>
      </c>
      <c r="D305" s="1">
        <v>-1.0</v>
      </c>
      <c r="E305" s="1">
        <v>-1.0</v>
      </c>
      <c r="F305" s="2">
        <f t="shared" si="1"/>
        <v>1</v>
      </c>
    </row>
    <row r="306">
      <c r="A306" s="1" t="s">
        <v>665</v>
      </c>
      <c r="B306" s="1" t="s">
        <v>666</v>
      </c>
      <c r="C306" s="1" t="s">
        <v>83</v>
      </c>
      <c r="D306" s="1">
        <v>3600.0</v>
      </c>
      <c r="E306" s="1">
        <v>2065.0</v>
      </c>
      <c r="F306" s="2">
        <f t="shared" si="1"/>
        <v>0</v>
      </c>
      <c r="G306" s="1">
        <v>3600.0</v>
      </c>
      <c r="H306" s="1">
        <v>2065.0</v>
      </c>
      <c r="O306" s="2">
        <f t="shared" ref="O306:O307" si="155">LEN(C306) - LEN(SUBSTITUTE(C306, ";", "")) + 1</f>
        <v>5</v>
      </c>
      <c r="P306" s="2">
        <f t="shared" ref="P306:P307" si="156">LEN(B306) - LEN(SUBSTITUTE(B306, ";", "")) + 1</f>
        <v>5</v>
      </c>
      <c r="R306" s="2">
        <f t="shared" ref="R306:R307" si="157">IF(B306 = C306, 0, 1)</f>
        <v>1</v>
      </c>
    </row>
    <row r="307">
      <c r="A307" s="1" t="s">
        <v>667</v>
      </c>
      <c r="B307" s="1" t="s">
        <v>668</v>
      </c>
      <c r="C307" s="1" t="s">
        <v>669</v>
      </c>
      <c r="D307" s="1">
        <v>137.0</v>
      </c>
      <c r="E307" s="1">
        <v>300.0</v>
      </c>
      <c r="F307" s="2">
        <f t="shared" si="1"/>
        <v>0</v>
      </c>
      <c r="G307" s="1">
        <v>137.0</v>
      </c>
      <c r="H307" s="1">
        <v>300.0</v>
      </c>
      <c r="O307" s="2">
        <f t="shared" si="155"/>
        <v>16</v>
      </c>
      <c r="P307" s="2">
        <f t="shared" si="156"/>
        <v>16</v>
      </c>
      <c r="R307" s="2">
        <f t="shared" si="157"/>
        <v>1</v>
      </c>
    </row>
    <row r="308" hidden="1">
      <c r="A308" s="1" t="s">
        <v>670</v>
      </c>
      <c r="D308" s="1">
        <v>-1.0</v>
      </c>
      <c r="E308" s="1">
        <v>-1.0</v>
      </c>
      <c r="F308" s="2">
        <f t="shared" si="1"/>
        <v>1</v>
      </c>
    </row>
    <row r="309">
      <c r="A309" s="1" t="s">
        <v>671</v>
      </c>
      <c r="B309" s="1" t="s">
        <v>672</v>
      </c>
      <c r="C309" s="1" t="s">
        <v>673</v>
      </c>
      <c r="D309" s="1">
        <v>300.0</v>
      </c>
      <c r="E309" s="1">
        <v>300.0</v>
      </c>
      <c r="F309" s="2">
        <f t="shared" si="1"/>
        <v>0</v>
      </c>
      <c r="G309" s="1">
        <v>300.0</v>
      </c>
      <c r="H309" s="1">
        <v>300.0</v>
      </c>
      <c r="O309" s="2">
        <f t="shared" ref="O309:O312" si="158">LEN(C309) - LEN(SUBSTITUTE(C309, ";", "")) + 1</f>
        <v>16</v>
      </c>
      <c r="P309" s="2">
        <f t="shared" ref="P309:P312" si="159">LEN(B309) - LEN(SUBSTITUTE(B309, ";", "")) + 1</f>
        <v>16</v>
      </c>
      <c r="R309" s="2">
        <f t="shared" ref="R309:R312" si="160">IF(B309 = C309, 0, 1)</f>
        <v>1</v>
      </c>
    </row>
    <row r="310">
      <c r="A310" s="1" t="s">
        <v>674</v>
      </c>
      <c r="B310" s="1" t="s">
        <v>675</v>
      </c>
      <c r="C310" s="1" t="s">
        <v>675</v>
      </c>
      <c r="D310" s="1">
        <v>60.0</v>
      </c>
      <c r="E310" s="1">
        <v>26.0</v>
      </c>
      <c r="F310" s="2">
        <f t="shared" si="1"/>
        <v>1</v>
      </c>
      <c r="G310" s="1">
        <v>60.0</v>
      </c>
      <c r="H310" s="1">
        <v>26.0</v>
      </c>
      <c r="O310" s="2">
        <f t="shared" si="158"/>
        <v>1</v>
      </c>
      <c r="P310" s="2">
        <f t="shared" si="159"/>
        <v>1</v>
      </c>
      <c r="R310" s="2">
        <f t="shared" si="160"/>
        <v>0</v>
      </c>
    </row>
    <row r="311">
      <c r="A311" s="1" t="s">
        <v>676</v>
      </c>
      <c r="B311" s="1" t="s">
        <v>677</v>
      </c>
      <c r="C311" s="1" t="s">
        <v>678</v>
      </c>
      <c r="D311" s="1">
        <v>221.0</v>
      </c>
      <c r="E311" s="1">
        <v>300.0</v>
      </c>
      <c r="F311" s="2">
        <f t="shared" si="1"/>
        <v>0</v>
      </c>
      <c r="G311" s="1">
        <v>221.0</v>
      </c>
      <c r="H311" s="1">
        <v>300.0</v>
      </c>
      <c r="O311" s="2">
        <f t="shared" si="158"/>
        <v>15</v>
      </c>
      <c r="P311" s="2">
        <f t="shared" si="159"/>
        <v>15</v>
      </c>
      <c r="R311" s="2">
        <f t="shared" si="160"/>
        <v>1</v>
      </c>
    </row>
    <row r="312">
      <c r="A312" s="1" t="s">
        <v>679</v>
      </c>
      <c r="B312" s="1" t="s">
        <v>680</v>
      </c>
      <c r="C312" s="1" t="s">
        <v>681</v>
      </c>
      <c r="D312" s="1">
        <v>30.0</v>
      </c>
      <c r="E312" s="1">
        <v>22.0</v>
      </c>
      <c r="F312" s="2">
        <f t="shared" si="1"/>
        <v>0</v>
      </c>
      <c r="G312" s="1">
        <v>30.0</v>
      </c>
      <c r="H312" s="1">
        <v>22.0</v>
      </c>
      <c r="O312" s="2">
        <f t="shared" si="158"/>
        <v>8</v>
      </c>
      <c r="P312" s="2">
        <f t="shared" si="159"/>
        <v>8</v>
      </c>
      <c r="R312" s="2">
        <f t="shared" si="160"/>
        <v>1</v>
      </c>
    </row>
    <row r="313" hidden="1">
      <c r="A313" s="1" t="s">
        <v>682</v>
      </c>
      <c r="D313" s="1">
        <v>-1.0</v>
      </c>
      <c r="E313" s="1">
        <v>-1.0</v>
      </c>
      <c r="F313" s="2">
        <f t="shared" si="1"/>
        <v>1</v>
      </c>
    </row>
    <row r="314">
      <c r="A314" s="1" t="s">
        <v>683</v>
      </c>
      <c r="B314" s="1" t="s">
        <v>684</v>
      </c>
      <c r="C314" s="1" t="s">
        <v>684</v>
      </c>
      <c r="D314" s="1">
        <v>61.0</v>
      </c>
      <c r="E314" s="1">
        <v>828.0</v>
      </c>
      <c r="F314" s="2">
        <f t="shared" si="1"/>
        <v>1</v>
      </c>
      <c r="G314" s="1">
        <v>61.0</v>
      </c>
      <c r="H314" s="1">
        <v>828.0</v>
      </c>
      <c r="O314" s="2">
        <f t="shared" ref="O314:O316" si="161">LEN(C314) - LEN(SUBSTITUTE(C314, ";", "")) + 1</f>
        <v>4</v>
      </c>
      <c r="P314" s="2">
        <f t="shared" ref="P314:P316" si="162">LEN(B314) - LEN(SUBSTITUTE(B314, ";", "")) + 1</f>
        <v>4</v>
      </c>
      <c r="R314" s="2">
        <f t="shared" ref="R314:R316" si="163">IF(B314 = C314, 0, 1)</f>
        <v>0</v>
      </c>
    </row>
    <row r="315">
      <c r="A315" s="1" t="s">
        <v>685</v>
      </c>
      <c r="B315" s="1" t="s">
        <v>686</v>
      </c>
      <c r="C315" s="1" t="s">
        <v>686</v>
      </c>
      <c r="D315" s="1">
        <v>223.0</v>
      </c>
      <c r="E315" s="1">
        <v>47.0</v>
      </c>
      <c r="F315" s="2">
        <f t="shared" si="1"/>
        <v>1</v>
      </c>
      <c r="G315" s="1">
        <v>223.0</v>
      </c>
      <c r="H315" s="1">
        <v>47.0</v>
      </c>
      <c r="O315" s="2">
        <f t="shared" si="161"/>
        <v>2</v>
      </c>
      <c r="P315" s="2">
        <f t="shared" si="162"/>
        <v>2</v>
      </c>
      <c r="R315" s="2">
        <f t="shared" si="163"/>
        <v>0</v>
      </c>
    </row>
    <row r="316">
      <c r="A316" s="1" t="s">
        <v>687</v>
      </c>
      <c r="B316" s="1" t="s">
        <v>688</v>
      </c>
      <c r="C316" s="1" t="s">
        <v>689</v>
      </c>
      <c r="D316" s="1">
        <v>3600.0</v>
      </c>
      <c r="E316" s="1">
        <v>1229.0</v>
      </c>
      <c r="F316" s="2">
        <f t="shared" si="1"/>
        <v>0</v>
      </c>
      <c r="G316" s="1">
        <v>3600.0</v>
      </c>
      <c r="H316" s="1">
        <v>1229.0</v>
      </c>
      <c r="O316" s="2">
        <f t="shared" si="161"/>
        <v>5</v>
      </c>
      <c r="P316" s="2">
        <f t="shared" si="162"/>
        <v>5</v>
      </c>
      <c r="R316" s="2">
        <f t="shared" si="163"/>
        <v>1</v>
      </c>
    </row>
    <row r="317" hidden="1">
      <c r="A317" s="1" t="s">
        <v>690</v>
      </c>
      <c r="D317" s="1">
        <v>-1.0</v>
      </c>
      <c r="E317" s="1">
        <v>-1.0</v>
      </c>
      <c r="F317" s="2">
        <f t="shared" si="1"/>
        <v>1</v>
      </c>
    </row>
    <row r="318">
      <c r="A318" s="1" t="s">
        <v>691</v>
      </c>
      <c r="B318" s="1" t="s">
        <v>692</v>
      </c>
      <c r="C318" s="1" t="s">
        <v>692</v>
      </c>
      <c r="D318" s="1">
        <v>60.0</v>
      </c>
      <c r="E318" s="1">
        <v>60.0</v>
      </c>
      <c r="F318" s="2">
        <f t="shared" si="1"/>
        <v>1</v>
      </c>
      <c r="G318" s="1">
        <v>60.0</v>
      </c>
      <c r="H318" s="1">
        <v>60.0</v>
      </c>
      <c r="O318" s="2">
        <f>LEN(C318) - LEN(SUBSTITUTE(C318, ";", "")) + 1</f>
        <v>1</v>
      </c>
      <c r="P318" s="2">
        <f>LEN(B318) - LEN(SUBSTITUTE(B318, ";", "")) + 1</f>
        <v>1</v>
      </c>
      <c r="R318" s="2">
        <f>IF(B318 = C318, 0, 1)</f>
        <v>0</v>
      </c>
    </row>
    <row r="319" hidden="1">
      <c r="A319" s="1" t="s">
        <v>693</v>
      </c>
      <c r="D319" s="1">
        <v>-1.0</v>
      </c>
      <c r="E319" s="1">
        <v>-1.0</v>
      </c>
      <c r="F319" s="2">
        <f t="shared" si="1"/>
        <v>1</v>
      </c>
    </row>
    <row r="320">
      <c r="A320" s="1" t="s">
        <v>694</v>
      </c>
      <c r="B320" s="1" t="s">
        <v>695</v>
      </c>
      <c r="C320" s="1" t="s">
        <v>695</v>
      </c>
      <c r="D320" s="1">
        <v>600.0</v>
      </c>
      <c r="E320" s="1">
        <v>600.0</v>
      </c>
      <c r="F320" s="2">
        <f t="shared" si="1"/>
        <v>1</v>
      </c>
      <c r="G320" s="1">
        <v>600.0</v>
      </c>
      <c r="H320" s="1">
        <v>600.0</v>
      </c>
      <c r="O320" s="2">
        <f t="shared" ref="O320:O321" si="164">LEN(C320) - LEN(SUBSTITUTE(C320, ";", "")) + 1</f>
        <v>1</v>
      </c>
      <c r="P320" s="2">
        <f t="shared" ref="P320:P321" si="165">LEN(B320) - LEN(SUBSTITUTE(B320, ";", "")) + 1</f>
        <v>1</v>
      </c>
      <c r="R320" s="2">
        <f t="shared" ref="R320:R321" si="166">IF(B320 = C320, 0, 1)</f>
        <v>0</v>
      </c>
    </row>
    <row r="321">
      <c r="A321" s="1" t="s">
        <v>696</v>
      </c>
      <c r="B321" s="1" t="s">
        <v>697</v>
      </c>
      <c r="C321" s="1" t="s">
        <v>697</v>
      </c>
      <c r="D321" s="1">
        <v>600.0</v>
      </c>
      <c r="E321" s="1">
        <v>600.0</v>
      </c>
      <c r="F321" s="2">
        <f t="shared" si="1"/>
        <v>1</v>
      </c>
      <c r="G321" s="1">
        <v>600.0</v>
      </c>
      <c r="H321" s="1">
        <v>600.0</v>
      </c>
      <c r="O321" s="2">
        <f t="shared" si="164"/>
        <v>2</v>
      </c>
      <c r="P321" s="2">
        <f t="shared" si="165"/>
        <v>2</v>
      </c>
      <c r="R321" s="2">
        <f t="shared" si="166"/>
        <v>0</v>
      </c>
    </row>
    <row r="322" hidden="1">
      <c r="A322" s="1" t="s">
        <v>698</v>
      </c>
      <c r="D322" s="1">
        <v>-1.0</v>
      </c>
      <c r="E322" s="1">
        <v>-1.0</v>
      </c>
      <c r="F322" s="2">
        <f t="shared" si="1"/>
        <v>1</v>
      </c>
    </row>
    <row r="323" hidden="1">
      <c r="A323" s="1" t="s">
        <v>699</v>
      </c>
      <c r="D323" s="1">
        <v>-1.0</v>
      </c>
      <c r="E323" s="1">
        <v>-1.0</v>
      </c>
      <c r="F323" s="2">
        <f t="shared" si="1"/>
        <v>1</v>
      </c>
    </row>
    <row r="324" hidden="1">
      <c r="A324" s="1" t="s">
        <v>700</v>
      </c>
      <c r="D324" s="1">
        <v>-1.0</v>
      </c>
      <c r="E324" s="1">
        <v>-1.0</v>
      </c>
      <c r="F324" s="2">
        <f t="shared" si="1"/>
        <v>1</v>
      </c>
    </row>
    <row r="325">
      <c r="A325" s="1" t="s">
        <v>701</v>
      </c>
      <c r="B325" s="1" t="s">
        <v>702</v>
      </c>
      <c r="C325" s="1" t="s">
        <v>703</v>
      </c>
      <c r="D325" s="1">
        <v>600.0</v>
      </c>
      <c r="E325" s="1">
        <v>560.0</v>
      </c>
      <c r="F325" s="2">
        <f t="shared" si="1"/>
        <v>0</v>
      </c>
      <c r="G325" s="1">
        <v>600.0</v>
      </c>
      <c r="H325" s="1">
        <v>560.0</v>
      </c>
      <c r="O325" s="2">
        <f>LEN(C325) - LEN(SUBSTITUTE(C325, ";", "")) + 1</f>
        <v>3</v>
      </c>
      <c r="P325" s="2">
        <f>LEN(B325) - LEN(SUBSTITUTE(B325, ";", "")) + 1</f>
        <v>3</v>
      </c>
      <c r="R325" s="2">
        <f>IF(B325 = C325, 0, 1)</f>
        <v>1</v>
      </c>
    </row>
    <row r="326" hidden="1">
      <c r="A326" s="1" t="s">
        <v>704</v>
      </c>
      <c r="D326" s="1">
        <v>-1.0</v>
      </c>
      <c r="E326" s="1">
        <v>-1.0</v>
      </c>
      <c r="F326" s="2">
        <f t="shared" si="1"/>
        <v>1</v>
      </c>
    </row>
    <row r="327">
      <c r="A327" s="1" t="s">
        <v>705</v>
      </c>
      <c r="B327" s="1" t="s">
        <v>706</v>
      </c>
      <c r="C327" s="1" t="s">
        <v>706</v>
      </c>
      <c r="D327" s="1">
        <v>3600.0</v>
      </c>
      <c r="E327" s="1">
        <v>320.0</v>
      </c>
      <c r="F327" s="2">
        <f t="shared" si="1"/>
        <v>1</v>
      </c>
      <c r="G327" s="1">
        <v>3600.0</v>
      </c>
      <c r="H327" s="1">
        <v>320.0</v>
      </c>
      <c r="O327" s="2">
        <f>LEN(C327) - LEN(SUBSTITUTE(C327, ";", "")) + 1</f>
        <v>1</v>
      </c>
      <c r="P327" s="2">
        <f>LEN(B327) - LEN(SUBSTITUTE(B327, ";", "")) + 1</f>
        <v>1</v>
      </c>
      <c r="R327" s="2">
        <f>IF(B327 = C327, 0, 1)</f>
        <v>0</v>
      </c>
    </row>
    <row r="328" hidden="1">
      <c r="A328" s="1" t="s">
        <v>707</v>
      </c>
      <c r="D328" s="1">
        <v>-1.0</v>
      </c>
      <c r="E328" s="1">
        <v>-1.0</v>
      </c>
      <c r="F328" s="2">
        <f t="shared" si="1"/>
        <v>1</v>
      </c>
    </row>
    <row r="329">
      <c r="A329" s="1" t="s">
        <v>708</v>
      </c>
      <c r="B329" s="1" t="s">
        <v>709</v>
      </c>
      <c r="C329" s="1" t="s">
        <v>710</v>
      </c>
      <c r="D329" s="1">
        <v>84.0</v>
      </c>
      <c r="E329" s="1">
        <v>300.0</v>
      </c>
      <c r="F329" s="2">
        <f t="shared" si="1"/>
        <v>0</v>
      </c>
      <c r="G329" s="1">
        <v>84.0</v>
      </c>
      <c r="H329" s="1">
        <v>300.0</v>
      </c>
      <c r="O329" s="2">
        <f t="shared" ref="O329:O341" si="167">LEN(C329) - LEN(SUBSTITUTE(C329, ";", "")) + 1</f>
        <v>1</v>
      </c>
      <c r="P329" s="2">
        <f t="shared" ref="P329:P341" si="168">LEN(B329) - LEN(SUBSTITUTE(B329, ";", "")) + 1</f>
        <v>1</v>
      </c>
      <c r="R329" s="2">
        <f t="shared" ref="R329:R341" si="169">IF(B329 = C329, 0, 1)</f>
        <v>1</v>
      </c>
    </row>
    <row r="330">
      <c r="A330" s="1" t="s">
        <v>711</v>
      </c>
      <c r="B330" s="1" t="s">
        <v>712</v>
      </c>
      <c r="C330" s="1" t="s">
        <v>713</v>
      </c>
      <c r="D330" s="1">
        <v>300.0</v>
      </c>
      <c r="E330" s="1">
        <v>300.0</v>
      </c>
      <c r="F330" s="2">
        <f t="shared" si="1"/>
        <v>0</v>
      </c>
      <c r="G330" s="1">
        <v>300.0</v>
      </c>
      <c r="H330" s="1">
        <v>300.0</v>
      </c>
      <c r="O330" s="2">
        <f t="shared" si="167"/>
        <v>4</v>
      </c>
      <c r="P330" s="2">
        <f t="shared" si="168"/>
        <v>4</v>
      </c>
      <c r="R330" s="2">
        <f t="shared" si="169"/>
        <v>1</v>
      </c>
    </row>
    <row r="331">
      <c r="A331" s="1" t="s">
        <v>714</v>
      </c>
      <c r="B331" s="1" t="s">
        <v>715</v>
      </c>
      <c r="C331" s="1" t="s">
        <v>716</v>
      </c>
      <c r="D331" s="1">
        <v>300.0</v>
      </c>
      <c r="E331" s="1">
        <v>286.0</v>
      </c>
      <c r="F331" s="2">
        <f t="shared" si="1"/>
        <v>0</v>
      </c>
      <c r="G331" s="1">
        <v>300.0</v>
      </c>
      <c r="H331" s="1">
        <v>286.0</v>
      </c>
      <c r="O331" s="2">
        <f t="shared" si="167"/>
        <v>2</v>
      </c>
      <c r="P331" s="2">
        <f t="shared" si="168"/>
        <v>2</v>
      </c>
      <c r="R331" s="2">
        <f t="shared" si="169"/>
        <v>1</v>
      </c>
    </row>
    <row r="332">
      <c r="A332" s="1" t="s">
        <v>717</v>
      </c>
      <c r="B332" s="1" t="s">
        <v>718</v>
      </c>
      <c r="C332" s="1" t="s">
        <v>719</v>
      </c>
      <c r="D332" s="1">
        <v>229.0</v>
      </c>
      <c r="E332" s="1">
        <v>300.0</v>
      </c>
      <c r="F332" s="2">
        <f t="shared" si="1"/>
        <v>0</v>
      </c>
      <c r="G332" s="1">
        <v>229.0</v>
      </c>
      <c r="H332" s="1">
        <v>300.0</v>
      </c>
      <c r="O332" s="2">
        <f t="shared" si="167"/>
        <v>16</v>
      </c>
      <c r="P332" s="2">
        <f t="shared" si="168"/>
        <v>16</v>
      </c>
      <c r="R332" s="2">
        <f t="shared" si="169"/>
        <v>1</v>
      </c>
    </row>
    <row r="333">
      <c r="A333" s="1" t="s">
        <v>720</v>
      </c>
      <c r="B333" s="1" t="s">
        <v>721</v>
      </c>
      <c r="C333" s="1" t="s">
        <v>722</v>
      </c>
      <c r="D333" s="1">
        <v>229.0</v>
      </c>
      <c r="E333" s="1">
        <v>300.0</v>
      </c>
      <c r="F333" s="2">
        <f t="shared" si="1"/>
        <v>0</v>
      </c>
      <c r="G333" s="1">
        <v>229.0</v>
      </c>
      <c r="H333" s="1">
        <v>300.0</v>
      </c>
      <c r="O333" s="2">
        <f t="shared" si="167"/>
        <v>16</v>
      </c>
      <c r="P333" s="2">
        <f t="shared" si="168"/>
        <v>16</v>
      </c>
      <c r="R333" s="2">
        <f t="shared" si="169"/>
        <v>1</v>
      </c>
    </row>
    <row r="334">
      <c r="A334" s="1" t="s">
        <v>723</v>
      </c>
      <c r="B334" s="1" t="s">
        <v>724</v>
      </c>
      <c r="C334" s="1" t="s">
        <v>89</v>
      </c>
      <c r="D334" s="1">
        <v>123.0</v>
      </c>
      <c r="E334" s="1">
        <v>300.0</v>
      </c>
      <c r="F334" s="2">
        <f t="shared" si="1"/>
        <v>0</v>
      </c>
      <c r="G334" s="1">
        <v>123.0</v>
      </c>
      <c r="H334" s="1">
        <v>300.0</v>
      </c>
      <c r="O334" s="2">
        <f t="shared" si="167"/>
        <v>1</v>
      </c>
      <c r="P334" s="2">
        <f t="shared" si="168"/>
        <v>1</v>
      </c>
      <c r="R334" s="2">
        <f t="shared" si="169"/>
        <v>1</v>
      </c>
    </row>
    <row r="335">
      <c r="A335" s="1" t="s">
        <v>725</v>
      </c>
      <c r="B335" s="1" t="s">
        <v>726</v>
      </c>
      <c r="C335" s="1" t="s">
        <v>726</v>
      </c>
      <c r="D335" s="1">
        <v>600.0</v>
      </c>
      <c r="E335" s="1">
        <v>600.0</v>
      </c>
      <c r="F335" s="2">
        <f t="shared" si="1"/>
        <v>1</v>
      </c>
      <c r="G335" s="1">
        <v>600.0</v>
      </c>
      <c r="H335" s="1">
        <v>600.0</v>
      </c>
      <c r="O335" s="2">
        <f t="shared" si="167"/>
        <v>1</v>
      </c>
      <c r="P335" s="2">
        <f t="shared" si="168"/>
        <v>1</v>
      </c>
      <c r="R335" s="2">
        <f t="shared" si="169"/>
        <v>0</v>
      </c>
    </row>
    <row r="336">
      <c r="A336" s="1" t="s">
        <v>727</v>
      </c>
      <c r="B336" s="1" t="s">
        <v>728</v>
      </c>
      <c r="C336" s="1" t="s">
        <v>729</v>
      </c>
      <c r="D336" s="1">
        <v>300.0</v>
      </c>
      <c r="E336" s="1">
        <v>300.0</v>
      </c>
      <c r="F336" s="2">
        <f t="shared" si="1"/>
        <v>0</v>
      </c>
      <c r="G336" s="1">
        <v>300.0</v>
      </c>
      <c r="H336" s="1">
        <v>300.0</v>
      </c>
      <c r="O336" s="2">
        <f t="shared" si="167"/>
        <v>16</v>
      </c>
      <c r="P336" s="2">
        <f t="shared" si="168"/>
        <v>16</v>
      </c>
      <c r="R336" s="2">
        <f t="shared" si="169"/>
        <v>1</v>
      </c>
    </row>
    <row r="337">
      <c r="A337" s="1" t="s">
        <v>730</v>
      </c>
      <c r="B337" s="1" t="s">
        <v>731</v>
      </c>
      <c r="C337" s="1" t="s">
        <v>731</v>
      </c>
      <c r="D337" s="1">
        <v>300.0</v>
      </c>
      <c r="E337" s="1">
        <v>300.0</v>
      </c>
      <c r="F337" s="2">
        <f t="shared" si="1"/>
        <v>1</v>
      </c>
      <c r="G337" s="1">
        <v>300.0</v>
      </c>
      <c r="H337" s="1">
        <v>300.0</v>
      </c>
      <c r="O337" s="2">
        <f t="shared" si="167"/>
        <v>2</v>
      </c>
      <c r="P337" s="2">
        <f t="shared" si="168"/>
        <v>2</v>
      </c>
      <c r="R337" s="2">
        <f t="shared" si="169"/>
        <v>0</v>
      </c>
    </row>
    <row r="338">
      <c r="A338" s="1" t="s">
        <v>732</v>
      </c>
      <c r="B338" s="1" t="s">
        <v>733</v>
      </c>
      <c r="C338" s="1" t="s">
        <v>733</v>
      </c>
      <c r="D338" s="1">
        <v>300.0</v>
      </c>
      <c r="E338" s="1">
        <v>300.0</v>
      </c>
      <c r="F338" s="2">
        <f t="shared" si="1"/>
        <v>1</v>
      </c>
      <c r="G338" s="1">
        <v>300.0</v>
      </c>
      <c r="H338" s="1">
        <v>300.0</v>
      </c>
      <c r="O338" s="2">
        <f t="shared" si="167"/>
        <v>2</v>
      </c>
      <c r="P338" s="2">
        <f t="shared" si="168"/>
        <v>2</v>
      </c>
      <c r="R338" s="2">
        <f t="shared" si="169"/>
        <v>0</v>
      </c>
    </row>
    <row r="339">
      <c r="A339" s="1" t="s">
        <v>734</v>
      </c>
      <c r="B339" s="1" t="s">
        <v>735</v>
      </c>
      <c r="C339" s="1" t="s">
        <v>735</v>
      </c>
      <c r="D339" s="1">
        <v>60.0</v>
      </c>
      <c r="E339" s="1">
        <v>60.0</v>
      </c>
      <c r="F339" s="2">
        <f t="shared" si="1"/>
        <v>1</v>
      </c>
      <c r="G339" s="1">
        <v>60.0</v>
      </c>
      <c r="H339" s="1">
        <v>60.0</v>
      </c>
      <c r="O339" s="2">
        <f t="shared" si="167"/>
        <v>1</v>
      </c>
      <c r="P339" s="2">
        <f t="shared" si="168"/>
        <v>1</v>
      </c>
      <c r="R339" s="2">
        <f t="shared" si="169"/>
        <v>0</v>
      </c>
    </row>
    <row r="340">
      <c r="A340" s="1" t="s">
        <v>736</v>
      </c>
      <c r="B340" s="1" t="s">
        <v>737</v>
      </c>
      <c r="C340" s="1" t="s">
        <v>738</v>
      </c>
      <c r="D340" s="1">
        <v>120.0</v>
      </c>
      <c r="E340" s="1">
        <v>71.0</v>
      </c>
      <c r="F340" s="2">
        <f t="shared" si="1"/>
        <v>0</v>
      </c>
      <c r="G340" s="1">
        <v>120.0</v>
      </c>
      <c r="H340" s="1">
        <v>71.0</v>
      </c>
      <c r="O340" s="2">
        <f t="shared" si="167"/>
        <v>8</v>
      </c>
      <c r="P340" s="2">
        <f t="shared" si="168"/>
        <v>8</v>
      </c>
      <c r="R340" s="2">
        <f t="shared" si="169"/>
        <v>1</v>
      </c>
    </row>
    <row r="341">
      <c r="A341" s="1" t="s">
        <v>739</v>
      </c>
      <c r="B341" s="1" t="s">
        <v>740</v>
      </c>
      <c r="C341" s="1" t="s">
        <v>741</v>
      </c>
      <c r="D341" s="1">
        <v>647.0</v>
      </c>
      <c r="E341" s="1">
        <v>357.0</v>
      </c>
      <c r="F341" s="2">
        <f t="shared" si="1"/>
        <v>0</v>
      </c>
      <c r="G341" s="1">
        <v>647.0</v>
      </c>
      <c r="H341" s="1">
        <v>357.0</v>
      </c>
      <c r="O341" s="2">
        <f t="shared" si="167"/>
        <v>6</v>
      </c>
      <c r="P341" s="2">
        <f t="shared" si="168"/>
        <v>6</v>
      </c>
      <c r="R341" s="2">
        <f t="shared" si="169"/>
        <v>1</v>
      </c>
    </row>
    <row r="342" hidden="1">
      <c r="A342" s="1" t="s">
        <v>742</v>
      </c>
      <c r="D342" s="1">
        <v>-1.0</v>
      </c>
      <c r="E342" s="1">
        <v>-1.0</v>
      </c>
      <c r="F342" s="2">
        <f t="shared" si="1"/>
        <v>1</v>
      </c>
    </row>
    <row r="343" hidden="1">
      <c r="A343" s="1" t="s">
        <v>743</v>
      </c>
      <c r="D343" s="1">
        <v>-1.0</v>
      </c>
      <c r="E343" s="1">
        <v>-1.0</v>
      </c>
      <c r="F343" s="2">
        <f t="shared" si="1"/>
        <v>1</v>
      </c>
    </row>
    <row r="344">
      <c r="A344" s="1" t="s">
        <v>744</v>
      </c>
      <c r="B344" s="1" t="s">
        <v>745</v>
      </c>
      <c r="C344" s="1" t="s">
        <v>746</v>
      </c>
      <c r="D344" s="1">
        <v>146.0</v>
      </c>
      <c r="E344" s="1">
        <v>300.0</v>
      </c>
      <c r="F344" s="2">
        <f t="shared" si="1"/>
        <v>0</v>
      </c>
      <c r="G344" s="1">
        <v>146.0</v>
      </c>
      <c r="H344" s="1">
        <v>300.0</v>
      </c>
      <c r="O344" s="2">
        <f t="shared" ref="O344:O347" si="170">LEN(C344) - LEN(SUBSTITUTE(C344, ";", "")) + 1</f>
        <v>1</v>
      </c>
      <c r="P344" s="2">
        <f t="shared" ref="P344:P347" si="171">LEN(B344) - LEN(SUBSTITUTE(B344, ";", "")) + 1</f>
        <v>1</v>
      </c>
      <c r="R344" s="2">
        <f t="shared" ref="R344:R347" si="172">IF(B344 = C344, 0, 1)</f>
        <v>1</v>
      </c>
    </row>
    <row r="345">
      <c r="A345" s="1" t="s">
        <v>747</v>
      </c>
      <c r="B345" s="1" t="s">
        <v>748</v>
      </c>
      <c r="C345" s="1" t="s">
        <v>749</v>
      </c>
      <c r="D345" s="1">
        <v>30.0</v>
      </c>
      <c r="E345" s="1">
        <v>15.0</v>
      </c>
      <c r="F345" s="2">
        <f t="shared" si="1"/>
        <v>0</v>
      </c>
      <c r="G345" s="1">
        <v>30.0</v>
      </c>
      <c r="H345" s="1">
        <v>15.0</v>
      </c>
      <c r="O345" s="2">
        <f t="shared" si="170"/>
        <v>1</v>
      </c>
      <c r="P345" s="2">
        <f t="shared" si="171"/>
        <v>1</v>
      </c>
      <c r="R345" s="2">
        <f t="shared" si="172"/>
        <v>1</v>
      </c>
    </row>
    <row r="346">
      <c r="A346" s="1" t="s">
        <v>750</v>
      </c>
      <c r="B346" s="1" t="s">
        <v>751</v>
      </c>
      <c r="C346" s="1" t="s">
        <v>752</v>
      </c>
      <c r="D346" s="1">
        <v>600.0</v>
      </c>
      <c r="E346" s="1">
        <v>600.0</v>
      </c>
      <c r="F346" s="2">
        <f t="shared" si="1"/>
        <v>0</v>
      </c>
      <c r="G346" s="1">
        <v>600.0</v>
      </c>
      <c r="H346" s="1">
        <v>600.0</v>
      </c>
      <c r="O346" s="2">
        <f t="shared" si="170"/>
        <v>2</v>
      </c>
      <c r="P346" s="2">
        <f t="shared" si="171"/>
        <v>2</v>
      </c>
      <c r="R346" s="2">
        <f t="shared" si="172"/>
        <v>1</v>
      </c>
    </row>
    <row r="347">
      <c r="A347" s="1" t="s">
        <v>753</v>
      </c>
      <c r="B347" s="1" t="s">
        <v>754</v>
      </c>
      <c r="C347" s="1" t="s">
        <v>755</v>
      </c>
      <c r="D347" s="1">
        <v>300.0</v>
      </c>
      <c r="E347" s="1">
        <v>300.0</v>
      </c>
      <c r="F347" s="2">
        <f t="shared" si="1"/>
        <v>0</v>
      </c>
      <c r="G347" s="1">
        <v>300.0</v>
      </c>
      <c r="H347" s="1">
        <v>300.0</v>
      </c>
      <c r="O347" s="2">
        <f t="shared" si="170"/>
        <v>2</v>
      </c>
      <c r="P347" s="2">
        <f t="shared" si="171"/>
        <v>2</v>
      </c>
      <c r="R347" s="2">
        <f t="shared" si="172"/>
        <v>1</v>
      </c>
    </row>
    <row r="348" hidden="1">
      <c r="A348" s="1" t="s">
        <v>756</v>
      </c>
      <c r="D348" s="1">
        <v>-1.0</v>
      </c>
      <c r="E348" s="1">
        <v>-1.0</v>
      </c>
      <c r="F348" s="2">
        <f t="shared" si="1"/>
        <v>1</v>
      </c>
    </row>
    <row r="349" hidden="1">
      <c r="A349" s="1" t="s">
        <v>757</v>
      </c>
      <c r="D349" s="1">
        <v>-1.0</v>
      </c>
      <c r="E349" s="1">
        <v>-1.0</v>
      </c>
      <c r="F349" s="2">
        <f t="shared" si="1"/>
        <v>1</v>
      </c>
    </row>
    <row r="350">
      <c r="A350" s="1" t="s">
        <v>758</v>
      </c>
      <c r="B350" s="1" t="s">
        <v>759</v>
      </c>
      <c r="C350" s="1" t="s">
        <v>759</v>
      </c>
      <c r="D350" s="1">
        <v>300.0</v>
      </c>
      <c r="E350" s="1">
        <v>300.0</v>
      </c>
      <c r="F350" s="2">
        <f t="shared" si="1"/>
        <v>1</v>
      </c>
      <c r="G350" s="1">
        <v>300.0</v>
      </c>
      <c r="H350" s="1">
        <v>300.0</v>
      </c>
      <c r="O350" s="2">
        <f t="shared" ref="O350:O358" si="173">LEN(C350) - LEN(SUBSTITUTE(C350, ";", "")) + 1</f>
        <v>2</v>
      </c>
      <c r="P350" s="2">
        <f t="shared" ref="P350:P358" si="174">LEN(B350) - LEN(SUBSTITUTE(B350, ";", "")) + 1</f>
        <v>2</v>
      </c>
      <c r="R350" s="2">
        <f t="shared" ref="R350:R358" si="175">IF(B350 = C350, 0, 1)</f>
        <v>0</v>
      </c>
    </row>
    <row r="351">
      <c r="A351" s="1" t="s">
        <v>760</v>
      </c>
      <c r="B351" s="1" t="s">
        <v>761</v>
      </c>
      <c r="C351" s="1" t="s">
        <v>761</v>
      </c>
      <c r="D351" s="1">
        <v>300.0</v>
      </c>
      <c r="E351" s="1">
        <v>175.0</v>
      </c>
      <c r="F351" s="2">
        <f t="shared" si="1"/>
        <v>1</v>
      </c>
      <c r="G351" s="1">
        <v>300.0</v>
      </c>
      <c r="H351" s="1">
        <v>175.0</v>
      </c>
      <c r="O351" s="2">
        <f t="shared" si="173"/>
        <v>1</v>
      </c>
      <c r="P351" s="2">
        <f t="shared" si="174"/>
        <v>1</v>
      </c>
      <c r="R351" s="2">
        <f t="shared" si="175"/>
        <v>0</v>
      </c>
    </row>
    <row r="352">
      <c r="A352" s="1" t="s">
        <v>762</v>
      </c>
      <c r="B352" s="1" t="s">
        <v>763</v>
      </c>
      <c r="C352" s="1" t="s">
        <v>764</v>
      </c>
      <c r="D352" s="1">
        <v>76.0</v>
      </c>
      <c r="E352" s="1">
        <v>9.0</v>
      </c>
      <c r="F352" s="2">
        <f t="shared" si="1"/>
        <v>0</v>
      </c>
      <c r="G352" s="1">
        <v>76.0</v>
      </c>
      <c r="H352" s="1">
        <v>9.0</v>
      </c>
      <c r="O352" s="2">
        <f t="shared" si="173"/>
        <v>4</v>
      </c>
      <c r="P352" s="2">
        <f t="shared" si="174"/>
        <v>4</v>
      </c>
      <c r="R352" s="2">
        <f t="shared" si="175"/>
        <v>1</v>
      </c>
    </row>
    <row r="353">
      <c r="A353" s="1" t="s">
        <v>765</v>
      </c>
      <c r="B353" s="1" t="s">
        <v>766</v>
      </c>
      <c r="C353" s="1" t="s">
        <v>767</v>
      </c>
      <c r="D353" s="1">
        <v>85.0</v>
      </c>
      <c r="E353" s="1">
        <v>300.0</v>
      </c>
      <c r="F353" s="2">
        <f t="shared" si="1"/>
        <v>0</v>
      </c>
      <c r="G353" s="1">
        <v>85.0</v>
      </c>
      <c r="H353" s="1">
        <v>300.0</v>
      </c>
      <c r="O353" s="2">
        <f t="shared" si="173"/>
        <v>16</v>
      </c>
      <c r="P353" s="2">
        <f t="shared" si="174"/>
        <v>16</v>
      </c>
      <c r="R353" s="2">
        <f t="shared" si="175"/>
        <v>1</v>
      </c>
    </row>
    <row r="354">
      <c r="A354" s="1" t="s">
        <v>768</v>
      </c>
      <c r="B354" s="1" t="s">
        <v>769</v>
      </c>
      <c r="C354" s="1" t="s">
        <v>769</v>
      </c>
      <c r="D354" s="1">
        <v>49.0</v>
      </c>
      <c r="E354" s="1">
        <v>60.0</v>
      </c>
      <c r="F354" s="2">
        <f t="shared" si="1"/>
        <v>1</v>
      </c>
      <c r="G354" s="1">
        <v>49.0</v>
      </c>
      <c r="H354" s="1">
        <v>60.0</v>
      </c>
      <c r="O354" s="2">
        <f t="shared" si="173"/>
        <v>1</v>
      </c>
      <c r="P354" s="2">
        <f t="shared" si="174"/>
        <v>1</v>
      </c>
      <c r="R354" s="2">
        <f t="shared" si="175"/>
        <v>0</v>
      </c>
    </row>
    <row r="355">
      <c r="A355" s="1" t="s">
        <v>770</v>
      </c>
      <c r="B355" s="1" t="s">
        <v>771</v>
      </c>
      <c r="C355" s="1" t="s">
        <v>772</v>
      </c>
      <c r="D355" s="1">
        <v>40.0</v>
      </c>
      <c r="E355" s="1">
        <v>300.0</v>
      </c>
      <c r="F355" s="2">
        <f t="shared" si="1"/>
        <v>0</v>
      </c>
      <c r="G355" s="1">
        <v>40.0</v>
      </c>
      <c r="H355" s="1">
        <v>300.0</v>
      </c>
      <c r="O355" s="2">
        <f t="shared" si="173"/>
        <v>16</v>
      </c>
      <c r="P355" s="2">
        <f t="shared" si="174"/>
        <v>16</v>
      </c>
      <c r="R355" s="2">
        <f t="shared" si="175"/>
        <v>1</v>
      </c>
    </row>
    <row r="356">
      <c r="A356" s="1" t="s">
        <v>773</v>
      </c>
      <c r="B356" s="1" t="s">
        <v>774</v>
      </c>
      <c r="C356" s="1" t="s">
        <v>775</v>
      </c>
      <c r="D356" s="1">
        <v>60.0</v>
      </c>
      <c r="E356" s="1">
        <v>60.0</v>
      </c>
      <c r="F356" s="2">
        <f t="shared" si="1"/>
        <v>0</v>
      </c>
      <c r="G356" s="1">
        <v>60.0</v>
      </c>
      <c r="H356" s="1">
        <v>60.0</v>
      </c>
      <c r="O356" s="2">
        <f t="shared" si="173"/>
        <v>4</v>
      </c>
      <c r="P356" s="2">
        <f t="shared" si="174"/>
        <v>4</v>
      </c>
      <c r="R356" s="2">
        <f t="shared" si="175"/>
        <v>1</v>
      </c>
    </row>
    <row r="357">
      <c r="A357" s="1" t="s">
        <v>776</v>
      </c>
      <c r="B357" s="1" t="s">
        <v>777</v>
      </c>
      <c r="C357" s="1" t="s">
        <v>777</v>
      </c>
      <c r="D357" s="1">
        <v>3600.0</v>
      </c>
      <c r="E357" s="1">
        <v>3600.0</v>
      </c>
      <c r="F357" s="2">
        <f t="shared" si="1"/>
        <v>1</v>
      </c>
      <c r="G357" s="1">
        <v>3600.0</v>
      </c>
      <c r="H357" s="1">
        <v>3600.0</v>
      </c>
      <c r="O357" s="2">
        <f t="shared" si="173"/>
        <v>2</v>
      </c>
      <c r="P357" s="2">
        <f t="shared" si="174"/>
        <v>2</v>
      </c>
      <c r="R357" s="2">
        <f t="shared" si="175"/>
        <v>0</v>
      </c>
    </row>
    <row r="358">
      <c r="A358" s="1" t="s">
        <v>778</v>
      </c>
      <c r="B358" s="1" t="s">
        <v>779</v>
      </c>
      <c r="C358" s="1" t="s">
        <v>779</v>
      </c>
      <c r="D358" s="1">
        <v>300.0</v>
      </c>
      <c r="E358" s="1">
        <v>300.0</v>
      </c>
      <c r="F358" s="2">
        <f t="shared" si="1"/>
        <v>1</v>
      </c>
      <c r="G358" s="1">
        <v>300.0</v>
      </c>
      <c r="H358" s="1">
        <v>300.0</v>
      </c>
      <c r="O358" s="2">
        <f t="shared" si="173"/>
        <v>1</v>
      </c>
      <c r="P358" s="2">
        <f t="shared" si="174"/>
        <v>1</v>
      </c>
      <c r="R358" s="2">
        <f t="shared" si="175"/>
        <v>0</v>
      </c>
    </row>
    <row r="359" hidden="1">
      <c r="A359" s="1" t="s">
        <v>780</v>
      </c>
      <c r="D359" s="1">
        <v>-1.0</v>
      </c>
      <c r="E359" s="1">
        <v>-1.0</v>
      </c>
      <c r="F359" s="2">
        <f t="shared" si="1"/>
        <v>1</v>
      </c>
    </row>
    <row r="360" hidden="1">
      <c r="A360" s="1" t="s">
        <v>781</v>
      </c>
      <c r="D360" s="1">
        <v>-1.0</v>
      </c>
      <c r="E360" s="1">
        <v>-1.0</v>
      </c>
      <c r="F360" s="2">
        <f t="shared" si="1"/>
        <v>1</v>
      </c>
    </row>
    <row r="361" hidden="1">
      <c r="A361" s="1" t="s">
        <v>782</v>
      </c>
      <c r="D361" s="1">
        <v>-1.0</v>
      </c>
      <c r="E361" s="1">
        <v>-1.0</v>
      </c>
      <c r="F361" s="2">
        <f t="shared" si="1"/>
        <v>1</v>
      </c>
    </row>
    <row r="362">
      <c r="A362" s="1" t="s">
        <v>783</v>
      </c>
      <c r="B362" s="1" t="s">
        <v>784</v>
      </c>
      <c r="C362" s="1" t="s">
        <v>785</v>
      </c>
      <c r="D362" s="1">
        <v>300.0</v>
      </c>
      <c r="E362" s="1">
        <v>300.0</v>
      </c>
      <c r="F362" s="2">
        <f t="shared" si="1"/>
        <v>0</v>
      </c>
      <c r="G362" s="1">
        <v>300.0</v>
      </c>
      <c r="H362" s="1">
        <v>300.0</v>
      </c>
      <c r="O362" s="2">
        <f t="shared" ref="O362:O363" si="176">LEN(C362) - LEN(SUBSTITUTE(C362, ";", "")) + 1</f>
        <v>16</v>
      </c>
      <c r="P362" s="2">
        <f t="shared" ref="P362:P363" si="177">LEN(B362) - LEN(SUBSTITUTE(B362, ";", "")) + 1</f>
        <v>16</v>
      </c>
      <c r="R362" s="2">
        <f t="shared" ref="R362:R363" si="178">IF(B362 = C362, 0, 1)</f>
        <v>1</v>
      </c>
    </row>
    <row r="363">
      <c r="A363" s="1" t="s">
        <v>786</v>
      </c>
      <c r="B363" s="1" t="s">
        <v>787</v>
      </c>
      <c r="C363" s="1" t="s">
        <v>788</v>
      </c>
      <c r="D363" s="1">
        <v>60.0</v>
      </c>
      <c r="E363" s="1">
        <v>60.0</v>
      </c>
      <c r="F363" s="2">
        <f t="shared" si="1"/>
        <v>0</v>
      </c>
      <c r="G363" s="1">
        <v>60.0</v>
      </c>
      <c r="H363" s="1">
        <v>60.0</v>
      </c>
      <c r="O363" s="2">
        <f t="shared" si="176"/>
        <v>4</v>
      </c>
      <c r="P363" s="2">
        <f t="shared" si="177"/>
        <v>4</v>
      </c>
      <c r="R363" s="2">
        <f t="shared" si="178"/>
        <v>1</v>
      </c>
    </row>
    <row r="364" hidden="1">
      <c r="A364" s="1" t="s">
        <v>789</v>
      </c>
      <c r="D364" s="1">
        <v>-1.0</v>
      </c>
      <c r="E364" s="1">
        <v>-1.0</v>
      </c>
      <c r="F364" s="2">
        <f t="shared" si="1"/>
        <v>1</v>
      </c>
    </row>
    <row r="365" hidden="1">
      <c r="A365" s="1" t="s">
        <v>790</v>
      </c>
      <c r="D365" s="1">
        <v>-1.0</v>
      </c>
      <c r="E365" s="1">
        <v>-1.0</v>
      </c>
      <c r="F365" s="2">
        <f t="shared" si="1"/>
        <v>1</v>
      </c>
    </row>
    <row r="366">
      <c r="A366" s="1" t="s">
        <v>791</v>
      </c>
      <c r="B366" s="1" t="s">
        <v>792</v>
      </c>
      <c r="C366" s="1" t="s">
        <v>793</v>
      </c>
      <c r="D366" s="1">
        <v>600.0</v>
      </c>
      <c r="E366" s="1">
        <v>165.0</v>
      </c>
      <c r="F366" s="2">
        <f t="shared" si="1"/>
        <v>0</v>
      </c>
      <c r="G366" s="1">
        <v>600.0</v>
      </c>
      <c r="H366" s="1">
        <v>165.0</v>
      </c>
      <c r="O366" s="2">
        <f>LEN(C366) - LEN(SUBSTITUTE(C366, ";", "")) + 1</f>
        <v>4</v>
      </c>
      <c r="P366" s="2">
        <f>LEN(B366) - LEN(SUBSTITUTE(B366, ";", "")) + 1</f>
        <v>4</v>
      </c>
      <c r="R366" s="2">
        <f>IF(B366 = C366, 0, 1)</f>
        <v>1</v>
      </c>
    </row>
    <row r="367" hidden="1">
      <c r="A367" s="1" t="s">
        <v>794</v>
      </c>
      <c r="D367" s="1">
        <v>-1.0</v>
      </c>
      <c r="E367" s="1">
        <v>-1.0</v>
      </c>
      <c r="F367" s="2">
        <f t="shared" si="1"/>
        <v>1</v>
      </c>
    </row>
    <row r="368">
      <c r="A368" s="1" t="s">
        <v>795</v>
      </c>
      <c r="B368" s="1" t="s">
        <v>796</v>
      </c>
      <c r="C368" s="1" t="s">
        <v>796</v>
      </c>
      <c r="D368" s="1">
        <v>300.0</v>
      </c>
      <c r="E368" s="1">
        <v>300.0</v>
      </c>
      <c r="F368" s="2">
        <f t="shared" si="1"/>
        <v>1</v>
      </c>
      <c r="G368" s="1">
        <v>300.0</v>
      </c>
      <c r="H368" s="1">
        <v>300.0</v>
      </c>
      <c r="O368" s="2">
        <f t="shared" ref="O368:O387" si="179">LEN(C368) - LEN(SUBSTITUTE(C368, ";", "")) + 1</f>
        <v>1</v>
      </c>
      <c r="P368" s="2">
        <f t="shared" ref="P368:P387" si="180">LEN(B368) - LEN(SUBSTITUTE(B368, ";", "")) + 1</f>
        <v>1</v>
      </c>
      <c r="R368" s="2">
        <f t="shared" ref="R368:R387" si="181">IF(B368 = C368, 0, 1)</f>
        <v>0</v>
      </c>
    </row>
    <row r="369">
      <c r="A369" s="1" t="s">
        <v>797</v>
      </c>
      <c r="B369" s="1" t="s">
        <v>798</v>
      </c>
      <c r="C369" s="1" t="s">
        <v>404</v>
      </c>
      <c r="D369" s="1">
        <v>548.0</v>
      </c>
      <c r="E369" s="1">
        <v>592.0</v>
      </c>
      <c r="F369" s="2">
        <f t="shared" si="1"/>
        <v>0</v>
      </c>
      <c r="G369" s="1">
        <v>548.0</v>
      </c>
      <c r="H369" s="1">
        <v>592.0</v>
      </c>
      <c r="O369" s="2">
        <f t="shared" si="179"/>
        <v>1</v>
      </c>
      <c r="P369" s="2">
        <f t="shared" si="180"/>
        <v>1</v>
      </c>
      <c r="R369" s="2">
        <f t="shared" si="181"/>
        <v>1</v>
      </c>
    </row>
    <row r="370">
      <c r="A370" s="1" t="s">
        <v>799</v>
      </c>
      <c r="B370" s="1" t="s">
        <v>800</v>
      </c>
      <c r="C370" s="1" t="s">
        <v>800</v>
      </c>
      <c r="D370" s="1">
        <v>3600.0</v>
      </c>
      <c r="E370" s="1">
        <v>3600.0</v>
      </c>
      <c r="F370" s="2">
        <f t="shared" si="1"/>
        <v>1</v>
      </c>
      <c r="G370" s="1">
        <v>3600.0</v>
      </c>
      <c r="H370" s="1">
        <v>3600.0</v>
      </c>
      <c r="O370" s="2">
        <f t="shared" si="179"/>
        <v>2</v>
      </c>
      <c r="P370" s="2">
        <f t="shared" si="180"/>
        <v>2</v>
      </c>
      <c r="R370" s="2">
        <f t="shared" si="181"/>
        <v>0</v>
      </c>
    </row>
    <row r="371">
      <c r="A371" s="1" t="s">
        <v>801</v>
      </c>
      <c r="B371" s="1" t="s">
        <v>802</v>
      </c>
      <c r="C371" s="1" t="s">
        <v>802</v>
      </c>
      <c r="D371" s="1">
        <v>300.0</v>
      </c>
      <c r="E371" s="1">
        <v>58.0</v>
      </c>
      <c r="F371" s="2">
        <f t="shared" si="1"/>
        <v>1</v>
      </c>
      <c r="G371" s="1">
        <v>300.0</v>
      </c>
      <c r="H371" s="1">
        <v>58.0</v>
      </c>
      <c r="O371" s="2">
        <f t="shared" si="179"/>
        <v>1</v>
      </c>
      <c r="P371" s="2">
        <f t="shared" si="180"/>
        <v>1</v>
      </c>
      <c r="R371" s="2">
        <f t="shared" si="181"/>
        <v>0</v>
      </c>
    </row>
    <row r="372">
      <c r="A372" s="1" t="s">
        <v>803</v>
      </c>
      <c r="B372" s="1" t="s">
        <v>804</v>
      </c>
      <c r="C372" s="1" t="s">
        <v>805</v>
      </c>
      <c r="D372" s="1">
        <v>300.0</v>
      </c>
      <c r="E372" s="1">
        <v>300.0</v>
      </c>
      <c r="F372" s="2">
        <f t="shared" si="1"/>
        <v>0</v>
      </c>
      <c r="G372" s="1">
        <v>300.0</v>
      </c>
      <c r="H372" s="1">
        <v>300.0</v>
      </c>
      <c r="O372" s="2">
        <f t="shared" si="179"/>
        <v>8</v>
      </c>
      <c r="P372" s="2">
        <f t="shared" si="180"/>
        <v>8</v>
      </c>
      <c r="R372" s="2">
        <f t="shared" si="181"/>
        <v>1</v>
      </c>
    </row>
    <row r="373">
      <c r="A373" s="1" t="s">
        <v>806</v>
      </c>
      <c r="B373" s="1" t="s">
        <v>807</v>
      </c>
      <c r="C373" s="1" t="s">
        <v>808</v>
      </c>
      <c r="D373" s="1">
        <v>60.0</v>
      </c>
      <c r="E373" s="1">
        <v>60.0</v>
      </c>
      <c r="F373" s="2">
        <f t="shared" si="1"/>
        <v>0</v>
      </c>
      <c r="G373" s="1">
        <v>60.0</v>
      </c>
      <c r="H373" s="1">
        <v>60.0</v>
      </c>
      <c r="O373" s="2">
        <f t="shared" si="179"/>
        <v>4</v>
      </c>
      <c r="P373" s="2">
        <f t="shared" si="180"/>
        <v>4</v>
      </c>
      <c r="R373" s="2">
        <f t="shared" si="181"/>
        <v>1</v>
      </c>
    </row>
    <row r="374">
      <c r="A374" s="1" t="s">
        <v>809</v>
      </c>
      <c r="B374" s="1" t="s">
        <v>810</v>
      </c>
      <c r="C374" s="1" t="s">
        <v>810</v>
      </c>
      <c r="D374" s="1">
        <v>300.0</v>
      </c>
      <c r="E374" s="1">
        <v>282.0</v>
      </c>
      <c r="F374" s="2">
        <f t="shared" si="1"/>
        <v>1</v>
      </c>
      <c r="G374" s="1">
        <v>300.0</v>
      </c>
      <c r="H374" s="1">
        <v>282.0</v>
      </c>
      <c r="O374" s="2">
        <f t="shared" si="179"/>
        <v>1</v>
      </c>
      <c r="P374" s="2">
        <f t="shared" si="180"/>
        <v>1</v>
      </c>
      <c r="R374" s="2">
        <f t="shared" si="181"/>
        <v>0</v>
      </c>
    </row>
    <row r="375">
      <c r="A375" s="1" t="s">
        <v>811</v>
      </c>
      <c r="B375" s="1" t="s">
        <v>812</v>
      </c>
      <c r="C375" s="1" t="s">
        <v>812</v>
      </c>
      <c r="D375" s="1">
        <v>14400.0</v>
      </c>
      <c r="E375" s="1">
        <v>14400.0</v>
      </c>
      <c r="F375" s="2">
        <f t="shared" si="1"/>
        <v>1</v>
      </c>
      <c r="G375" s="1">
        <v>14400.0</v>
      </c>
      <c r="H375" s="1">
        <v>14400.0</v>
      </c>
      <c r="O375" s="2">
        <f t="shared" si="179"/>
        <v>1</v>
      </c>
      <c r="P375" s="2">
        <f t="shared" si="180"/>
        <v>1</v>
      </c>
      <c r="R375" s="2">
        <f t="shared" si="181"/>
        <v>0</v>
      </c>
    </row>
    <row r="376">
      <c r="A376" s="1" t="s">
        <v>813</v>
      </c>
      <c r="B376" s="1" t="s">
        <v>814</v>
      </c>
      <c r="C376" s="1" t="s">
        <v>815</v>
      </c>
      <c r="D376" s="1">
        <v>300.0</v>
      </c>
      <c r="E376" s="1">
        <v>300.0</v>
      </c>
      <c r="F376" s="2">
        <f t="shared" si="1"/>
        <v>0</v>
      </c>
      <c r="G376" s="1">
        <v>300.0</v>
      </c>
      <c r="H376" s="1">
        <v>300.0</v>
      </c>
      <c r="O376" s="2">
        <f t="shared" si="179"/>
        <v>4</v>
      </c>
      <c r="P376" s="2">
        <f t="shared" si="180"/>
        <v>4</v>
      </c>
      <c r="R376" s="2">
        <f t="shared" si="181"/>
        <v>1</v>
      </c>
    </row>
    <row r="377">
      <c r="A377" s="1" t="s">
        <v>816</v>
      </c>
      <c r="B377" s="1" t="s">
        <v>817</v>
      </c>
      <c r="C377" s="1" t="s">
        <v>818</v>
      </c>
      <c r="D377" s="1">
        <v>60.0</v>
      </c>
      <c r="E377" s="1">
        <v>60.0</v>
      </c>
      <c r="F377" s="2">
        <f t="shared" si="1"/>
        <v>0</v>
      </c>
      <c r="G377" s="1">
        <v>60.0</v>
      </c>
      <c r="H377" s="1">
        <v>60.0</v>
      </c>
      <c r="O377" s="2">
        <f t="shared" si="179"/>
        <v>4</v>
      </c>
      <c r="P377" s="2">
        <f t="shared" si="180"/>
        <v>4</v>
      </c>
      <c r="R377" s="2">
        <f t="shared" si="181"/>
        <v>1</v>
      </c>
    </row>
    <row r="378">
      <c r="A378" s="1" t="s">
        <v>819</v>
      </c>
      <c r="B378" s="1" t="s">
        <v>369</v>
      </c>
      <c r="C378" s="1" t="s">
        <v>369</v>
      </c>
      <c r="D378" s="1">
        <v>2433.0</v>
      </c>
      <c r="E378" s="1">
        <v>3600.0</v>
      </c>
      <c r="F378" s="2">
        <f t="shared" si="1"/>
        <v>1</v>
      </c>
      <c r="G378" s="1">
        <v>2433.0</v>
      </c>
      <c r="H378" s="1">
        <v>3600.0</v>
      </c>
      <c r="O378" s="2">
        <f t="shared" si="179"/>
        <v>1</v>
      </c>
      <c r="P378" s="2">
        <f t="shared" si="180"/>
        <v>1</v>
      </c>
      <c r="R378" s="2">
        <f t="shared" si="181"/>
        <v>0</v>
      </c>
    </row>
    <row r="379">
      <c r="A379" s="1" t="s">
        <v>820</v>
      </c>
      <c r="B379" s="1" t="s">
        <v>821</v>
      </c>
      <c r="C379" s="1" t="s">
        <v>822</v>
      </c>
      <c r="D379" s="1">
        <v>300.0</v>
      </c>
      <c r="E379" s="1">
        <v>300.0</v>
      </c>
      <c r="F379" s="2">
        <f t="shared" si="1"/>
        <v>0</v>
      </c>
      <c r="G379" s="1">
        <v>300.0</v>
      </c>
      <c r="H379" s="1">
        <v>300.0</v>
      </c>
      <c r="O379" s="2">
        <f t="shared" si="179"/>
        <v>2</v>
      </c>
      <c r="P379" s="2">
        <f t="shared" si="180"/>
        <v>2</v>
      </c>
      <c r="R379" s="2">
        <f t="shared" si="181"/>
        <v>1</v>
      </c>
    </row>
    <row r="380">
      <c r="A380" s="1" t="s">
        <v>823</v>
      </c>
      <c r="B380" s="1" t="s">
        <v>824</v>
      </c>
      <c r="C380" s="1" t="s">
        <v>825</v>
      </c>
      <c r="D380" s="1">
        <v>108.0</v>
      </c>
      <c r="E380" s="1">
        <v>300.0</v>
      </c>
      <c r="F380" s="2">
        <f t="shared" si="1"/>
        <v>0</v>
      </c>
      <c r="G380" s="1">
        <v>108.0</v>
      </c>
      <c r="H380" s="1">
        <v>300.0</v>
      </c>
      <c r="O380" s="2">
        <f t="shared" si="179"/>
        <v>16</v>
      </c>
      <c r="P380" s="2">
        <f t="shared" si="180"/>
        <v>16</v>
      </c>
      <c r="R380" s="2">
        <f t="shared" si="181"/>
        <v>1</v>
      </c>
    </row>
    <row r="381">
      <c r="A381" s="1" t="s">
        <v>826</v>
      </c>
      <c r="B381" s="1" t="s">
        <v>827</v>
      </c>
      <c r="C381" s="1" t="s">
        <v>827</v>
      </c>
      <c r="D381" s="1">
        <v>300.0</v>
      </c>
      <c r="E381" s="1">
        <v>300.0</v>
      </c>
      <c r="F381" s="2">
        <f t="shared" si="1"/>
        <v>1</v>
      </c>
      <c r="G381" s="1">
        <v>300.0</v>
      </c>
      <c r="H381" s="1">
        <v>300.0</v>
      </c>
      <c r="O381" s="2">
        <f t="shared" si="179"/>
        <v>1</v>
      </c>
      <c r="P381" s="2">
        <f t="shared" si="180"/>
        <v>1</v>
      </c>
      <c r="R381" s="2">
        <f t="shared" si="181"/>
        <v>0</v>
      </c>
    </row>
    <row r="382">
      <c r="A382" s="1" t="s">
        <v>828</v>
      </c>
      <c r="B382" s="1" t="s">
        <v>829</v>
      </c>
      <c r="C382" s="1" t="s">
        <v>829</v>
      </c>
      <c r="D382" s="1">
        <v>1800.0</v>
      </c>
      <c r="E382" s="1">
        <v>518.0</v>
      </c>
      <c r="F382" s="2">
        <f t="shared" si="1"/>
        <v>1</v>
      </c>
      <c r="G382" s="1">
        <v>1800.0</v>
      </c>
      <c r="H382" s="1">
        <v>518.0</v>
      </c>
      <c r="O382" s="2">
        <f t="shared" si="179"/>
        <v>1</v>
      </c>
      <c r="P382" s="2">
        <f t="shared" si="180"/>
        <v>1</v>
      </c>
      <c r="R382" s="2">
        <f t="shared" si="181"/>
        <v>0</v>
      </c>
    </row>
    <row r="383">
      <c r="A383" s="1" t="s">
        <v>830</v>
      </c>
      <c r="B383" s="1" t="s">
        <v>831</v>
      </c>
      <c r="C383" s="1" t="s">
        <v>832</v>
      </c>
      <c r="D383" s="1">
        <v>121.0</v>
      </c>
      <c r="E383" s="1">
        <v>300.0</v>
      </c>
      <c r="F383" s="2">
        <f t="shared" si="1"/>
        <v>0</v>
      </c>
      <c r="G383" s="1">
        <v>121.0</v>
      </c>
      <c r="H383" s="1">
        <v>300.0</v>
      </c>
      <c r="O383" s="2">
        <f t="shared" si="179"/>
        <v>16</v>
      </c>
      <c r="P383" s="2">
        <f t="shared" si="180"/>
        <v>15</v>
      </c>
      <c r="R383" s="2">
        <f t="shared" si="181"/>
        <v>1</v>
      </c>
    </row>
    <row r="384">
      <c r="A384" s="1" t="s">
        <v>833</v>
      </c>
      <c r="B384" s="1" t="s">
        <v>834</v>
      </c>
      <c r="C384" s="1" t="s">
        <v>835</v>
      </c>
      <c r="D384" s="1">
        <v>60.0</v>
      </c>
      <c r="E384" s="1">
        <v>60.0</v>
      </c>
      <c r="F384" s="2">
        <f t="shared" si="1"/>
        <v>0</v>
      </c>
      <c r="G384" s="1">
        <v>60.0</v>
      </c>
      <c r="H384" s="1">
        <v>60.0</v>
      </c>
      <c r="O384" s="2">
        <f t="shared" si="179"/>
        <v>4</v>
      </c>
      <c r="P384" s="2">
        <f t="shared" si="180"/>
        <v>4</v>
      </c>
      <c r="R384" s="2">
        <f t="shared" si="181"/>
        <v>1</v>
      </c>
    </row>
    <row r="385">
      <c r="A385" s="1" t="s">
        <v>836</v>
      </c>
      <c r="B385" s="1" t="s">
        <v>837</v>
      </c>
      <c r="C385" s="1" t="s">
        <v>837</v>
      </c>
      <c r="D385" s="1">
        <v>36.0</v>
      </c>
      <c r="E385" s="1">
        <v>115.0</v>
      </c>
      <c r="F385" s="2">
        <f t="shared" si="1"/>
        <v>1</v>
      </c>
      <c r="G385" s="1">
        <v>36.0</v>
      </c>
      <c r="H385" s="1">
        <v>115.0</v>
      </c>
      <c r="O385" s="2">
        <f t="shared" si="179"/>
        <v>1</v>
      </c>
      <c r="P385" s="2">
        <f t="shared" si="180"/>
        <v>1</v>
      </c>
      <c r="R385" s="2">
        <f t="shared" si="181"/>
        <v>0</v>
      </c>
    </row>
    <row r="386">
      <c r="A386" s="1" t="s">
        <v>838</v>
      </c>
      <c r="B386" s="1" t="s">
        <v>839</v>
      </c>
      <c r="C386" s="1" t="s">
        <v>839</v>
      </c>
      <c r="D386" s="1">
        <v>600.0</v>
      </c>
      <c r="E386" s="1">
        <v>600.0</v>
      </c>
      <c r="F386" s="2">
        <f t="shared" si="1"/>
        <v>1</v>
      </c>
      <c r="G386" s="1">
        <v>600.0</v>
      </c>
      <c r="H386" s="1">
        <v>600.0</v>
      </c>
      <c r="O386" s="2">
        <f t="shared" si="179"/>
        <v>1</v>
      </c>
      <c r="P386" s="2">
        <f t="shared" si="180"/>
        <v>1</v>
      </c>
      <c r="R386" s="2">
        <f t="shared" si="181"/>
        <v>0</v>
      </c>
    </row>
    <row r="387">
      <c r="A387" s="1" t="s">
        <v>840</v>
      </c>
      <c r="B387" s="1" t="s">
        <v>841</v>
      </c>
      <c r="C387" s="1" t="s">
        <v>841</v>
      </c>
      <c r="D387" s="1">
        <v>60.0</v>
      </c>
      <c r="E387" s="1">
        <v>57.0</v>
      </c>
      <c r="F387" s="2">
        <f t="shared" si="1"/>
        <v>1</v>
      </c>
      <c r="G387" s="1">
        <v>60.0</v>
      </c>
      <c r="H387" s="1">
        <v>57.0</v>
      </c>
      <c r="O387" s="2">
        <f t="shared" si="179"/>
        <v>1</v>
      </c>
      <c r="P387" s="2">
        <f t="shared" si="180"/>
        <v>1</v>
      </c>
      <c r="R387" s="2">
        <f t="shared" si="181"/>
        <v>0</v>
      </c>
    </row>
    <row r="388" hidden="1">
      <c r="A388" s="1" t="s">
        <v>842</v>
      </c>
      <c r="D388" s="1">
        <v>-1.0</v>
      </c>
      <c r="E388" s="1">
        <v>-1.0</v>
      </c>
      <c r="F388" s="2">
        <f t="shared" si="1"/>
        <v>1</v>
      </c>
    </row>
    <row r="389">
      <c r="A389" s="1" t="s">
        <v>843</v>
      </c>
      <c r="B389" s="1" t="s">
        <v>844</v>
      </c>
      <c r="C389" s="1" t="s">
        <v>845</v>
      </c>
      <c r="D389" s="1">
        <v>60.0</v>
      </c>
      <c r="E389" s="1">
        <v>60.0</v>
      </c>
      <c r="F389" s="2">
        <f t="shared" si="1"/>
        <v>0</v>
      </c>
      <c r="G389" s="1">
        <v>60.0</v>
      </c>
      <c r="H389" s="1">
        <v>60.0</v>
      </c>
      <c r="O389" s="2">
        <f>LEN(C389) - LEN(SUBSTITUTE(C389, ";", "")) + 1</f>
        <v>4</v>
      </c>
      <c r="P389" s="2">
        <f>LEN(B389) - LEN(SUBSTITUTE(B389, ";", "")) + 1</f>
        <v>4</v>
      </c>
      <c r="R389" s="2">
        <f>IF(B389 = C389, 0, 1)</f>
        <v>1</v>
      </c>
    </row>
    <row r="390" hidden="1">
      <c r="A390" s="1" t="s">
        <v>846</v>
      </c>
      <c r="D390" s="1">
        <v>-1.0</v>
      </c>
      <c r="E390" s="1">
        <v>-1.0</v>
      </c>
      <c r="F390" s="2">
        <f t="shared" si="1"/>
        <v>1</v>
      </c>
    </row>
    <row r="391" hidden="1">
      <c r="A391" s="1" t="s">
        <v>847</v>
      </c>
      <c r="D391" s="1">
        <v>-1.0</v>
      </c>
      <c r="E391" s="1">
        <v>-1.0</v>
      </c>
      <c r="F391" s="2">
        <f t="shared" si="1"/>
        <v>1</v>
      </c>
    </row>
    <row r="392">
      <c r="A392" s="1" t="s">
        <v>848</v>
      </c>
      <c r="B392" s="1" t="s">
        <v>849</v>
      </c>
      <c r="C392" s="1" t="s">
        <v>850</v>
      </c>
      <c r="D392" s="1">
        <v>300.0</v>
      </c>
      <c r="E392" s="1">
        <v>300.0</v>
      </c>
      <c r="F392" s="2">
        <f t="shared" si="1"/>
        <v>0</v>
      </c>
      <c r="G392" s="1">
        <v>300.0</v>
      </c>
      <c r="H392" s="1">
        <v>300.0</v>
      </c>
      <c r="O392" s="2">
        <f t="shared" ref="O392:O395" si="182">LEN(C392) - LEN(SUBSTITUTE(C392, ";", "")) + 1</f>
        <v>2</v>
      </c>
      <c r="P392" s="2">
        <f t="shared" ref="P392:P395" si="183">LEN(B392) - LEN(SUBSTITUTE(B392, ";", "")) + 1</f>
        <v>2</v>
      </c>
      <c r="R392" s="2">
        <f t="shared" ref="R392:R395" si="184">IF(B392 = C392, 0, 1)</f>
        <v>1</v>
      </c>
    </row>
    <row r="393">
      <c r="A393" s="1" t="s">
        <v>851</v>
      </c>
      <c r="B393" s="1" t="s">
        <v>852</v>
      </c>
      <c r="C393" s="1" t="s">
        <v>853</v>
      </c>
      <c r="D393" s="1">
        <v>300.0</v>
      </c>
      <c r="E393" s="1">
        <v>300.0</v>
      </c>
      <c r="F393" s="2">
        <f t="shared" si="1"/>
        <v>0</v>
      </c>
      <c r="G393" s="1">
        <v>300.0</v>
      </c>
      <c r="H393" s="1">
        <v>300.0</v>
      </c>
      <c r="O393" s="2">
        <f t="shared" si="182"/>
        <v>16</v>
      </c>
      <c r="P393" s="2">
        <f t="shared" si="183"/>
        <v>16</v>
      </c>
      <c r="R393" s="2">
        <f t="shared" si="184"/>
        <v>1</v>
      </c>
    </row>
    <row r="394">
      <c r="A394" s="1" t="s">
        <v>854</v>
      </c>
      <c r="B394" s="1" t="s">
        <v>855</v>
      </c>
      <c r="C394" s="1" t="s">
        <v>856</v>
      </c>
      <c r="D394" s="1">
        <v>42.0</v>
      </c>
      <c r="E394" s="1">
        <v>76.0</v>
      </c>
      <c r="F394" s="2">
        <f t="shared" si="1"/>
        <v>0</v>
      </c>
      <c r="G394" s="1">
        <v>42.0</v>
      </c>
      <c r="H394" s="1">
        <v>76.0</v>
      </c>
      <c r="O394" s="2">
        <f t="shared" si="182"/>
        <v>2</v>
      </c>
      <c r="P394" s="2">
        <f t="shared" si="183"/>
        <v>1</v>
      </c>
      <c r="R394" s="2">
        <f t="shared" si="184"/>
        <v>1</v>
      </c>
    </row>
    <row r="395">
      <c r="A395" s="1" t="s">
        <v>857</v>
      </c>
      <c r="B395" s="1" t="s">
        <v>858</v>
      </c>
      <c r="C395" s="1" t="s">
        <v>859</v>
      </c>
      <c r="D395" s="1">
        <v>300.0</v>
      </c>
      <c r="E395" s="1">
        <v>300.0</v>
      </c>
      <c r="F395" s="2">
        <f t="shared" si="1"/>
        <v>0</v>
      </c>
      <c r="G395" s="1">
        <v>300.0</v>
      </c>
      <c r="H395" s="1">
        <v>300.0</v>
      </c>
      <c r="O395" s="2">
        <f t="shared" si="182"/>
        <v>16</v>
      </c>
      <c r="P395" s="2">
        <f t="shared" si="183"/>
        <v>16</v>
      </c>
      <c r="R395" s="2">
        <f t="shared" si="184"/>
        <v>1</v>
      </c>
    </row>
    <row r="396" hidden="1">
      <c r="A396" s="1" t="s">
        <v>860</v>
      </c>
      <c r="D396" s="1">
        <v>-1.0</v>
      </c>
      <c r="E396" s="1">
        <v>-1.0</v>
      </c>
      <c r="F396" s="2">
        <f t="shared" si="1"/>
        <v>1</v>
      </c>
    </row>
    <row r="397" hidden="1">
      <c r="A397" s="1" t="s">
        <v>861</v>
      </c>
      <c r="D397" s="1">
        <v>-1.0</v>
      </c>
      <c r="E397" s="1">
        <v>-1.0</v>
      </c>
      <c r="F397" s="2">
        <f t="shared" si="1"/>
        <v>1</v>
      </c>
    </row>
    <row r="398">
      <c r="A398" s="1" t="s">
        <v>862</v>
      </c>
      <c r="B398" s="1" t="s">
        <v>863</v>
      </c>
      <c r="C398" s="1" t="s">
        <v>863</v>
      </c>
      <c r="D398" s="1">
        <v>3600.0</v>
      </c>
      <c r="E398" s="1">
        <v>656.0</v>
      </c>
      <c r="F398" s="2">
        <f t="shared" si="1"/>
        <v>1</v>
      </c>
      <c r="G398" s="1">
        <v>3600.0</v>
      </c>
      <c r="H398" s="1">
        <v>656.0</v>
      </c>
      <c r="O398" s="2">
        <f>LEN(C398) - LEN(SUBSTITUTE(C398, ";", "")) + 1</f>
        <v>1</v>
      </c>
      <c r="P398" s="2">
        <f>LEN(B398) - LEN(SUBSTITUTE(B398, ";", "")) + 1</f>
        <v>1</v>
      </c>
      <c r="R398" s="2">
        <f>IF(B398 = C398, 0, 1)</f>
        <v>0</v>
      </c>
    </row>
    <row r="399" hidden="1">
      <c r="A399" s="1" t="s">
        <v>864</v>
      </c>
      <c r="D399" s="1">
        <v>-1.0</v>
      </c>
      <c r="E399" s="1">
        <v>-1.0</v>
      </c>
      <c r="F399" s="2">
        <f t="shared" si="1"/>
        <v>1</v>
      </c>
    </row>
    <row r="400" hidden="1">
      <c r="A400" s="1" t="s">
        <v>865</v>
      </c>
      <c r="D400" s="1">
        <v>-1.0</v>
      </c>
      <c r="E400" s="1">
        <v>-1.0</v>
      </c>
      <c r="F400" s="2">
        <f t="shared" si="1"/>
        <v>1</v>
      </c>
    </row>
    <row r="401">
      <c r="A401" s="1" t="s">
        <v>866</v>
      </c>
      <c r="B401" s="1" t="s">
        <v>867</v>
      </c>
      <c r="C401" s="1" t="s">
        <v>867</v>
      </c>
      <c r="D401" s="1">
        <v>10800.0</v>
      </c>
      <c r="E401" s="1">
        <v>10800.0</v>
      </c>
      <c r="F401" s="2">
        <f t="shared" si="1"/>
        <v>1</v>
      </c>
      <c r="G401" s="1">
        <v>10800.0</v>
      </c>
      <c r="H401" s="1">
        <v>10800.0</v>
      </c>
      <c r="O401" s="2">
        <f t="shared" ref="O401:O410" si="185">LEN(C401) - LEN(SUBSTITUTE(C401, ";", "")) + 1</f>
        <v>1</v>
      </c>
      <c r="P401" s="2">
        <f t="shared" ref="P401:P410" si="186">LEN(B401) - LEN(SUBSTITUTE(B401, ";", "")) + 1</f>
        <v>1</v>
      </c>
      <c r="R401" s="2">
        <f t="shared" ref="R401:R410" si="187">IF(B401 = C401, 0, 1)</f>
        <v>0</v>
      </c>
    </row>
    <row r="402">
      <c r="A402" s="1" t="s">
        <v>868</v>
      </c>
      <c r="B402" s="1" t="s">
        <v>869</v>
      </c>
      <c r="C402" s="1" t="s">
        <v>870</v>
      </c>
      <c r="D402" s="1">
        <v>6.0</v>
      </c>
      <c r="E402" s="1">
        <v>300.0</v>
      </c>
      <c r="F402" s="2">
        <f t="shared" si="1"/>
        <v>0</v>
      </c>
      <c r="G402" s="1">
        <v>6.0</v>
      </c>
      <c r="H402" s="1">
        <v>300.0</v>
      </c>
      <c r="O402" s="2">
        <f t="shared" si="185"/>
        <v>16</v>
      </c>
      <c r="P402" s="2">
        <f t="shared" si="186"/>
        <v>16</v>
      </c>
      <c r="R402" s="2">
        <f t="shared" si="187"/>
        <v>1</v>
      </c>
    </row>
    <row r="403">
      <c r="A403" s="1" t="s">
        <v>871</v>
      </c>
      <c r="B403" s="1" t="s">
        <v>872</v>
      </c>
      <c r="C403" s="1" t="s">
        <v>873</v>
      </c>
      <c r="D403" s="1">
        <v>300.0</v>
      </c>
      <c r="E403" s="1">
        <v>300.0</v>
      </c>
      <c r="F403" s="2">
        <f t="shared" si="1"/>
        <v>0</v>
      </c>
      <c r="G403" s="1">
        <v>300.0</v>
      </c>
      <c r="H403" s="1">
        <v>300.0</v>
      </c>
      <c r="O403" s="2">
        <f t="shared" si="185"/>
        <v>3</v>
      </c>
      <c r="P403" s="2">
        <f t="shared" si="186"/>
        <v>3</v>
      </c>
      <c r="R403" s="2">
        <f t="shared" si="187"/>
        <v>1</v>
      </c>
    </row>
    <row r="404">
      <c r="A404" s="1" t="s">
        <v>874</v>
      </c>
      <c r="B404" s="1" t="s">
        <v>875</v>
      </c>
      <c r="C404" s="1" t="s">
        <v>876</v>
      </c>
      <c r="D404" s="1">
        <v>224.0</v>
      </c>
      <c r="E404" s="1">
        <v>300.0</v>
      </c>
      <c r="F404" s="2">
        <f t="shared" si="1"/>
        <v>0</v>
      </c>
      <c r="G404" s="1">
        <v>224.0</v>
      </c>
      <c r="H404" s="1">
        <v>300.0</v>
      </c>
      <c r="O404" s="2">
        <f t="shared" si="185"/>
        <v>16</v>
      </c>
      <c r="P404" s="2">
        <f t="shared" si="186"/>
        <v>16</v>
      </c>
      <c r="R404" s="2">
        <f t="shared" si="187"/>
        <v>1</v>
      </c>
    </row>
    <row r="405">
      <c r="A405" s="1" t="s">
        <v>877</v>
      </c>
      <c r="B405" s="1" t="s">
        <v>878</v>
      </c>
      <c r="C405" s="1" t="s">
        <v>879</v>
      </c>
      <c r="D405" s="1">
        <v>193.0</v>
      </c>
      <c r="E405" s="1">
        <v>300.0</v>
      </c>
      <c r="F405" s="2">
        <f t="shared" si="1"/>
        <v>0</v>
      </c>
      <c r="G405" s="1">
        <v>193.0</v>
      </c>
      <c r="H405" s="1">
        <v>300.0</v>
      </c>
      <c r="O405" s="2">
        <f t="shared" si="185"/>
        <v>16</v>
      </c>
      <c r="P405" s="2">
        <f t="shared" si="186"/>
        <v>15</v>
      </c>
      <c r="R405" s="2">
        <f t="shared" si="187"/>
        <v>1</v>
      </c>
    </row>
    <row r="406">
      <c r="A406" s="1" t="s">
        <v>880</v>
      </c>
      <c r="B406" s="1" t="s">
        <v>881</v>
      </c>
      <c r="C406" s="1" t="s">
        <v>882</v>
      </c>
      <c r="D406" s="1">
        <v>60.0</v>
      </c>
      <c r="E406" s="1">
        <v>11.0</v>
      </c>
      <c r="F406" s="2">
        <f t="shared" si="1"/>
        <v>0</v>
      </c>
      <c r="G406" s="1">
        <v>60.0</v>
      </c>
      <c r="H406" s="1">
        <v>11.0</v>
      </c>
      <c r="O406" s="2">
        <f t="shared" si="185"/>
        <v>2</v>
      </c>
      <c r="P406" s="2">
        <f t="shared" si="186"/>
        <v>2</v>
      </c>
      <c r="R406" s="2">
        <f t="shared" si="187"/>
        <v>1</v>
      </c>
    </row>
    <row r="407">
      <c r="A407" s="1" t="s">
        <v>883</v>
      </c>
      <c r="B407" s="1" t="s">
        <v>884</v>
      </c>
      <c r="C407" s="1" t="s">
        <v>884</v>
      </c>
      <c r="D407" s="1">
        <v>3600.0</v>
      </c>
      <c r="E407" s="1">
        <v>3600.0</v>
      </c>
      <c r="F407" s="2">
        <f t="shared" si="1"/>
        <v>1</v>
      </c>
      <c r="G407" s="1">
        <v>3600.0</v>
      </c>
      <c r="H407" s="1">
        <v>3600.0</v>
      </c>
      <c r="O407" s="2">
        <f t="shared" si="185"/>
        <v>1</v>
      </c>
      <c r="P407" s="2">
        <f t="shared" si="186"/>
        <v>1</v>
      </c>
      <c r="R407" s="2">
        <f t="shared" si="187"/>
        <v>0</v>
      </c>
    </row>
    <row r="408">
      <c r="A408" s="1" t="s">
        <v>885</v>
      </c>
      <c r="B408" s="1" t="s">
        <v>886</v>
      </c>
      <c r="C408" s="1" t="s">
        <v>887</v>
      </c>
      <c r="D408" s="1">
        <v>137.0</v>
      </c>
      <c r="E408" s="1">
        <v>182.0</v>
      </c>
      <c r="F408" s="2">
        <f t="shared" si="1"/>
        <v>0</v>
      </c>
      <c r="G408" s="1">
        <v>137.0</v>
      </c>
      <c r="H408" s="1">
        <v>182.0</v>
      </c>
      <c r="O408" s="2">
        <f t="shared" si="185"/>
        <v>6</v>
      </c>
      <c r="P408" s="2">
        <f t="shared" si="186"/>
        <v>6</v>
      </c>
      <c r="R408" s="2">
        <f t="shared" si="187"/>
        <v>1</v>
      </c>
    </row>
    <row r="409">
      <c r="A409" s="1" t="s">
        <v>888</v>
      </c>
      <c r="B409" s="1" t="s">
        <v>889</v>
      </c>
      <c r="C409" s="1" t="s">
        <v>890</v>
      </c>
      <c r="D409" s="1">
        <v>300.0</v>
      </c>
      <c r="E409" s="1">
        <v>300.0</v>
      </c>
      <c r="F409" s="2">
        <f t="shared" si="1"/>
        <v>0</v>
      </c>
      <c r="G409" s="1">
        <v>300.0</v>
      </c>
      <c r="H409" s="1">
        <v>300.0</v>
      </c>
      <c r="O409" s="2">
        <f t="shared" si="185"/>
        <v>4</v>
      </c>
      <c r="P409" s="2">
        <f t="shared" si="186"/>
        <v>4</v>
      </c>
      <c r="R409" s="2">
        <f t="shared" si="187"/>
        <v>1</v>
      </c>
    </row>
    <row r="410">
      <c r="A410" s="1" t="s">
        <v>891</v>
      </c>
      <c r="B410" s="1" t="s">
        <v>892</v>
      </c>
      <c r="C410" s="1" t="s">
        <v>892</v>
      </c>
      <c r="D410" s="1">
        <v>300.0</v>
      </c>
      <c r="E410" s="1">
        <v>300.0</v>
      </c>
      <c r="F410" s="2">
        <f t="shared" si="1"/>
        <v>1</v>
      </c>
      <c r="G410" s="1">
        <v>300.0</v>
      </c>
      <c r="H410" s="1">
        <v>300.0</v>
      </c>
      <c r="O410" s="2">
        <f t="shared" si="185"/>
        <v>1</v>
      </c>
      <c r="P410" s="2">
        <f t="shared" si="186"/>
        <v>1</v>
      </c>
      <c r="R410" s="2">
        <f t="shared" si="187"/>
        <v>0</v>
      </c>
    </row>
    <row r="411" hidden="1">
      <c r="A411" s="1" t="s">
        <v>893</v>
      </c>
      <c r="D411" s="1">
        <v>-1.0</v>
      </c>
      <c r="E411" s="1">
        <v>-1.0</v>
      </c>
      <c r="F411" s="2">
        <f t="shared" si="1"/>
        <v>1</v>
      </c>
    </row>
    <row r="412" hidden="1">
      <c r="A412" s="1" t="s">
        <v>894</v>
      </c>
      <c r="D412" s="1">
        <v>-1.0</v>
      </c>
      <c r="E412" s="1">
        <v>-1.0</v>
      </c>
      <c r="F412" s="2">
        <f t="shared" si="1"/>
        <v>1</v>
      </c>
    </row>
    <row r="413">
      <c r="A413" s="1" t="s">
        <v>895</v>
      </c>
      <c r="B413" s="1" t="s">
        <v>896</v>
      </c>
      <c r="C413" s="1" t="s">
        <v>897</v>
      </c>
      <c r="D413" s="1">
        <v>300.0</v>
      </c>
      <c r="E413" s="1">
        <v>300.0</v>
      </c>
      <c r="F413" s="2">
        <f t="shared" si="1"/>
        <v>0</v>
      </c>
      <c r="G413" s="1">
        <v>300.0</v>
      </c>
      <c r="H413" s="1">
        <v>300.0</v>
      </c>
      <c r="O413" s="2">
        <f>LEN(C413) - LEN(SUBSTITUTE(C413, ";", "")) + 1</f>
        <v>1</v>
      </c>
      <c r="P413" s="2">
        <f>LEN(B413) - LEN(SUBSTITUTE(B413, ";", "")) + 1</f>
        <v>1</v>
      </c>
      <c r="R413" s="2">
        <f>IF(B413 = C413, 0, 1)</f>
        <v>1</v>
      </c>
    </row>
    <row r="414" hidden="1">
      <c r="A414" s="1" t="s">
        <v>898</v>
      </c>
      <c r="D414" s="1">
        <v>-1.0</v>
      </c>
      <c r="E414" s="1">
        <v>-1.0</v>
      </c>
      <c r="F414" s="2">
        <f t="shared" si="1"/>
        <v>1</v>
      </c>
    </row>
    <row r="415" hidden="1">
      <c r="A415" s="1" t="s">
        <v>899</v>
      </c>
      <c r="D415" s="1">
        <v>-1.0</v>
      </c>
      <c r="E415" s="1">
        <v>-1.0</v>
      </c>
      <c r="F415" s="2">
        <f t="shared" si="1"/>
        <v>1</v>
      </c>
    </row>
    <row r="416">
      <c r="A416" s="1" t="s">
        <v>900</v>
      </c>
      <c r="B416" s="1" t="s">
        <v>901</v>
      </c>
      <c r="C416" s="1" t="s">
        <v>902</v>
      </c>
      <c r="D416" s="1">
        <v>300.0</v>
      </c>
      <c r="E416" s="1">
        <v>300.0</v>
      </c>
      <c r="F416" s="2">
        <f t="shared" si="1"/>
        <v>0</v>
      </c>
      <c r="G416" s="1">
        <v>300.0</v>
      </c>
      <c r="H416" s="1">
        <v>300.0</v>
      </c>
      <c r="O416" s="2">
        <f>LEN(C416) - LEN(SUBSTITUTE(C416, ";", "")) + 1</f>
        <v>2</v>
      </c>
      <c r="P416" s="2">
        <f>LEN(B416) - LEN(SUBSTITUTE(B416, ";", "")) + 1</f>
        <v>2</v>
      </c>
      <c r="R416" s="2">
        <f>IF(B416 = C416, 0, 1)</f>
        <v>1</v>
      </c>
    </row>
    <row r="417" hidden="1">
      <c r="A417" s="1" t="s">
        <v>903</v>
      </c>
      <c r="D417" s="1">
        <v>-1.0</v>
      </c>
      <c r="E417" s="1">
        <v>-1.0</v>
      </c>
      <c r="F417" s="2">
        <f t="shared" si="1"/>
        <v>1</v>
      </c>
    </row>
    <row r="418" hidden="1">
      <c r="A418" s="1" t="s">
        <v>904</v>
      </c>
      <c r="D418" s="1">
        <v>-1.0</v>
      </c>
      <c r="E418" s="1">
        <v>-1.0</v>
      </c>
      <c r="F418" s="2">
        <f t="shared" si="1"/>
        <v>1</v>
      </c>
    </row>
    <row r="419">
      <c r="A419" s="1" t="s">
        <v>905</v>
      </c>
      <c r="B419" s="1" t="s">
        <v>906</v>
      </c>
      <c r="C419" s="1" t="s">
        <v>907</v>
      </c>
      <c r="D419" s="1">
        <v>300.0</v>
      </c>
      <c r="E419" s="1">
        <v>300.0</v>
      </c>
      <c r="F419" s="2">
        <f t="shared" si="1"/>
        <v>0</v>
      </c>
      <c r="G419" s="1">
        <v>300.0</v>
      </c>
      <c r="H419" s="1">
        <v>300.0</v>
      </c>
      <c r="O419" s="2">
        <f t="shared" ref="O419:O422" si="188">LEN(C419) - LEN(SUBSTITUTE(C419, ";", "")) + 1</f>
        <v>16</v>
      </c>
      <c r="P419" s="2">
        <f t="shared" ref="P419:P422" si="189">LEN(B419) - LEN(SUBSTITUTE(B419, ";", "")) + 1</f>
        <v>16</v>
      </c>
      <c r="R419" s="2">
        <f t="shared" ref="R419:R422" si="190">IF(B419 = C419, 0, 1)</f>
        <v>1</v>
      </c>
    </row>
    <row r="420">
      <c r="A420" s="1" t="s">
        <v>908</v>
      </c>
      <c r="B420" s="1" t="s">
        <v>909</v>
      </c>
      <c r="C420" s="1" t="s">
        <v>910</v>
      </c>
      <c r="D420" s="1">
        <v>177.0</v>
      </c>
      <c r="E420" s="1">
        <v>300.0</v>
      </c>
      <c r="F420" s="2">
        <f t="shared" si="1"/>
        <v>0</v>
      </c>
      <c r="G420" s="1">
        <v>177.0</v>
      </c>
      <c r="H420" s="1">
        <v>300.0</v>
      </c>
      <c r="O420" s="2">
        <f t="shared" si="188"/>
        <v>16</v>
      </c>
      <c r="P420" s="2">
        <f t="shared" si="189"/>
        <v>16</v>
      </c>
      <c r="R420" s="2">
        <f t="shared" si="190"/>
        <v>1</v>
      </c>
    </row>
    <row r="421">
      <c r="A421" s="1" t="s">
        <v>911</v>
      </c>
      <c r="B421" s="1" t="s">
        <v>560</v>
      </c>
      <c r="C421" s="1" t="s">
        <v>560</v>
      </c>
      <c r="D421" s="1">
        <v>3600.0</v>
      </c>
      <c r="E421" s="1">
        <v>3600.0</v>
      </c>
      <c r="F421" s="2">
        <f t="shared" si="1"/>
        <v>1</v>
      </c>
      <c r="G421" s="1">
        <v>3600.0</v>
      </c>
      <c r="H421" s="1">
        <v>3600.0</v>
      </c>
      <c r="O421" s="2">
        <f t="shared" si="188"/>
        <v>1</v>
      </c>
      <c r="P421" s="2">
        <f t="shared" si="189"/>
        <v>1</v>
      </c>
      <c r="R421" s="2">
        <f t="shared" si="190"/>
        <v>0</v>
      </c>
    </row>
    <row r="422">
      <c r="A422" s="1" t="s">
        <v>912</v>
      </c>
      <c r="B422" s="1" t="s">
        <v>913</v>
      </c>
      <c r="C422" s="1" t="s">
        <v>914</v>
      </c>
      <c r="D422" s="1">
        <v>1200.0</v>
      </c>
      <c r="E422" s="1">
        <v>1182.0</v>
      </c>
      <c r="F422" s="2">
        <f t="shared" si="1"/>
        <v>0</v>
      </c>
      <c r="G422" s="1">
        <v>1200.0</v>
      </c>
      <c r="H422" s="1">
        <v>1182.0</v>
      </c>
      <c r="O422" s="2">
        <f t="shared" si="188"/>
        <v>2</v>
      </c>
      <c r="P422" s="2">
        <f t="shared" si="189"/>
        <v>2</v>
      </c>
      <c r="R422" s="2">
        <f t="shared" si="190"/>
        <v>1</v>
      </c>
    </row>
    <row r="423" hidden="1">
      <c r="A423" s="1" t="s">
        <v>915</v>
      </c>
      <c r="D423" s="1">
        <v>-1.0</v>
      </c>
      <c r="E423" s="1">
        <v>-1.0</v>
      </c>
      <c r="F423" s="2">
        <f t="shared" si="1"/>
        <v>1</v>
      </c>
    </row>
    <row r="424">
      <c r="A424" s="1" t="s">
        <v>916</v>
      </c>
      <c r="B424" s="1" t="s">
        <v>917</v>
      </c>
      <c r="C424" s="1" t="s">
        <v>918</v>
      </c>
      <c r="D424" s="1">
        <v>60.0</v>
      </c>
      <c r="E424" s="1">
        <v>60.0</v>
      </c>
      <c r="F424" s="2">
        <f t="shared" si="1"/>
        <v>0</v>
      </c>
      <c r="G424" s="1">
        <v>60.0</v>
      </c>
      <c r="H424" s="1">
        <v>60.0</v>
      </c>
      <c r="O424" s="2">
        <f t="shared" ref="O424:O425" si="191">LEN(C424) - LEN(SUBSTITUTE(C424, ";", "")) + 1</f>
        <v>4</v>
      </c>
      <c r="P424" s="2">
        <f t="shared" ref="P424:P425" si="192">LEN(B424) - LEN(SUBSTITUTE(B424, ";", "")) + 1</f>
        <v>4</v>
      </c>
      <c r="R424" s="2">
        <f t="shared" ref="R424:R425" si="193">IF(B424 = C424, 0, 1)</f>
        <v>1</v>
      </c>
    </row>
    <row r="425">
      <c r="A425" s="1" t="s">
        <v>919</v>
      </c>
      <c r="B425" s="1" t="s">
        <v>920</v>
      </c>
      <c r="C425" s="1" t="s">
        <v>921</v>
      </c>
      <c r="D425" s="1">
        <v>167.0</v>
      </c>
      <c r="E425" s="1">
        <v>300.0</v>
      </c>
      <c r="F425" s="2">
        <f t="shared" si="1"/>
        <v>0</v>
      </c>
      <c r="G425" s="1">
        <v>167.0</v>
      </c>
      <c r="H425" s="1">
        <v>300.0</v>
      </c>
      <c r="O425" s="2">
        <f t="shared" si="191"/>
        <v>16</v>
      </c>
      <c r="P425" s="2">
        <f t="shared" si="192"/>
        <v>14</v>
      </c>
      <c r="R425" s="2">
        <f t="shared" si="193"/>
        <v>1</v>
      </c>
    </row>
    <row r="426" hidden="1">
      <c r="A426" s="1" t="s">
        <v>922</v>
      </c>
      <c r="D426" s="1">
        <v>-1.0</v>
      </c>
      <c r="E426" s="1">
        <v>-1.0</v>
      </c>
      <c r="F426" s="2">
        <f t="shared" si="1"/>
        <v>1</v>
      </c>
    </row>
    <row r="427" hidden="1">
      <c r="A427" s="1" t="s">
        <v>923</v>
      </c>
      <c r="D427" s="1">
        <v>-1.0</v>
      </c>
      <c r="E427" s="1">
        <v>-1.0</v>
      </c>
      <c r="F427" s="2">
        <f t="shared" si="1"/>
        <v>1</v>
      </c>
    </row>
    <row r="428">
      <c r="A428" s="1" t="s">
        <v>924</v>
      </c>
      <c r="B428" s="1" t="s">
        <v>562</v>
      </c>
      <c r="C428" s="1" t="s">
        <v>925</v>
      </c>
      <c r="D428" s="1">
        <v>253.0</v>
      </c>
      <c r="E428" s="1">
        <v>300.0</v>
      </c>
      <c r="F428" s="2">
        <f t="shared" si="1"/>
        <v>0</v>
      </c>
      <c r="G428" s="1">
        <v>253.0</v>
      </c>
      <c r="H428" s="1">
        <v>300.0</v>
      </c>
      <c r="O428" s="2">
        <f t="shared" ref="O428:O432" si="194">LEN(C428) - LEN(SUBSTITUTE(C428, ";", "")) + 1</f>
        <v>1</v>
      </c>
      <c r="P428" s="2">
        <f t="shared" ref="P428:P432" si="195">LEN(B428) - LEN(SUBSTITUTE(B428, ";", "")) + 1</f>
        <v>1</v>
      </c>
      <c r="R428" s="2">
        <f t="shared" ref="R428:R432" si="196">IF(B428 = C428, 0, 1)</f>
        <v>1</v>
      </c>
    </row>
    <row r="429">
      <c r="A429" s="1" t="s">
        <v>926</v>
      </c>
      <c r="B429" s="1" t="s">
        <v>927</v>
      </c>
      <c r="C429" s="1" t="s">
        <v>927</v>
      </c>
      <c r="D429" s="1">
        <v>3600.0</v>
      </c>
      <c r="E429" s="1">
        <v>2780.0</v>
      </c>
      <c r="F429" s="2">
        <f t="shared" si="1"/>
        <v>1</v>
      </c>
      <c r="G429" s="1">
        <v>3600.0</v>
      </c>
      <c r="H429" s="1">
        <v>2780.0</v>
      </c>
      <c r="O429" s="2">
        <f t="shared" si="194"/>
        <v>1</v>
      </c>
      <c r="P429" s="2">
        <f t="shared" si="195"/>
        <v>1</v>
      </c>
      <c r="R429" s="2">
        <f t="shared" si="196"/>
        <v>0</v>
      </c>
    </row>
    <row r="430">
      <c r="A430" s="1" t="s">
        <v>928</v>
      </c>
      <c r="B430" s="1" t="s">
        <v>929</v>
      </c>
      <c r="C430" s="1" t="s">
        <v>929</v>
      </c>
      <c r="D430" s="1">
        <v>41.0</v>
      </c>
      <c r="E430" s="1">
        <v>5.0</v>
      </c>
      <c r="F430" s="2">
        <f t="shared" si="1"/>
        <v>1</v>
      </c>
      <c r="G430" s="1">
        <v>41.0</v>
      </c>
      <c r="H430" s="1">
        <v>5.0</v>
      </c>
      <c r="O430" s="2">
        <f t="shared" si="194"/>
        <v>1</v>
      </c>
      <c r="P430" s="2">
        <f t="shared" si="195"/>
        <v>1</v>
      </c>
      <c r="R430" s="2">
        <f t="shared" si="196"/>
        <v>0</v>
      </c>
    </row>
    <row r="431">
      <c r="A431" s="1" t="s">
        <v>930</v>
      </c>
      <c r="B431" s="1" t="s">
        <v>931</v>
      </c>
      <c r="C431" s="1" t="s">
        <v>931</v>
      </c>
      <c r="D431" s="1">
        <v>60.0</v>
      </c>
      <c r="E431" s="1">
        <v>60.0</v>
      </c>
      <c r="F431" s="2">
        <f t="shared" si="1"/>
        <v>1</v>
      </c>
      <c r="G431" s="1">
        <v>60.0</v>
      </c>
      <c r="H431" s="1">
        <v>60.0</v>
      </c>
      <c r="O431" s="2">
        <f t="shared" si="194"/>
        <v>1</v>
      </c>
      <c r="P431" s="2">
        <f t="shared" si="195"/>
        <v>1</v>
      </c>
      <c r="R431" s="2">
        <f t="shared" si="196"/>
        <v>0</v>
      </c>
    </row>
    <row r="432">
      <c r="A432" s="1" t="s">
        <v>932</v>
      </c>
      <c r="B432" s="1" t="s">
        <v>644</v>
      </c>
      <c r="C432" s="1" t="s">
        <v>933</v>
      </c>
      <c r="D432" s="1">
        <v>300.0</v>
      </c>
      <c r="E432" s="1">
        <v>300.0</v>
      </c>
      <c r="F432" s="2">
        <f t="shared" si="1"/>
        <v>0</v>
      </c>
      <c r="G432" s="1">
        <v>300.0</v>
      </c>
      <c r="H432" s="1">
        <v>300.0</v>
      </c>
      <c r="O432" s="2">
        <f t="shared" si="194"/>
        <v>2</v>
      </c>
      <c r="P432" s="2">
        <f t="shared" si="195"/>
        <v>2</v>
      </c>
      <c r="R432" s="2">
        <f t="shared" si="196"/>
        <v>1</v>
      </c>
    </row>
    <row r="433" hidden="1">
      <c r="A433" s="1" t="s">
        <v>934</v>
      </c>
      <c r="D433" s="1">
        <v>-1.0</v>
      </c>
      <c r="E433" s="1">
        <v>-1.0</v>
      </c>
      <c r="F433" s="2">
        <f t="shared" si="1"/>
        <v>1</v>
      </c>
    </row>
    <row r="434">
      <c r="A434" s="1" t="s">
        <v>935</v>
      </c>
      <c r="B434" s="1" t="s">
        <v>253</v>
      </c>
      <c r="C434" s="1" t="s">
        <v>253</v>
      </c>
      <c r="D434" s="1">
        <v>300.0</v>
      </c>
      <c r="E434" s="1">
        <v>35.0</v>
      </c>
      <c r="F434" s="2">
        <f t="shared" si="1"/>
        <v>1</v>
      </c>
      <c r="G434" s="1">
        <v>300.0</v>
      </c>
      <c r="H434" s="1">
        <v>35.0</v>
      </c>
      <c r="O434" s="2">
        <f t="shared" ref="O434:O436" si="197">LEN(C434) - LEN(SUBSTITUTE(C434, ";", "")) + 1</f>
        <v>1</v>
      </c>
      <c r="P434" s="2">
        <f t="shared" ref="P434:P436" si="198">LEN(B434) - LEN(SUBSTITUTE(B434, ";", "")) + 1</f>
        <v>1</v>
      </c>
      <c r="R434" s="2">
        <f t="shared" ref="R434:R436" si="199">IF(B434 = C434, 0, 1)</f>
        <v>0</v>
      </c>
    </row>
    <row r="435">
      <c r="A435" s="1" t="s">
        <v>936</v>
      </c>
      <c r="B435" s="1" t="s">
        <v>937</v>
      </c>
      <c r="C435" s="1" t="s">
        <v>937</v>
      </c>
      <c r="D435" s="1">
        <v>228.0</v>
      </c>
      <c r="E435" s="1">
        <v>300.0</v>
      </c>
      <c r="F435" s="2">
        <f t="shared" si="1"/>
        <v>1</v>
      </c>
      <c r="G435" s="1">
        <v>228.0</v>
      </c>
      <c r="H435" s="1">
        <v>300.0</v>
      </c>
      <c r="O435" s="2">
        <f t="shared" si="197"/>
        <v>2</v>
      </c>
      <c r="P435" s="2">
        <f t="shared" si="198"/>
        <v>2</v>
      </c>
      <c r="R435" s="2">
        <f t="shared" si="199"/>
        <v>0</v>
      </c>
    </row>
    <row r="436">
      <c r="A436" s="1" t="s">
        <v>938</v>
      </c>
      <c r="B436" s="1" t="s">
        <v>939</v>
      </c>
      <c r="C436" s="1" t="s">
        <v>940</v>
      </c>
      <c r="D436" s="1">
        <v>60.0</v>
      </c>
      <c r="E436" s="1">
        <v>60.0</v>
      </c>
      <c r="F436" s="2">
        <f t="shared" si="1"/>
        <v>0</v>
      </c>
      <c r="G436" s="1">
        <v>60.0</v>
      </c>
      <c r="H436" s="1">
        <v>60.0</v>
      </c>
      <c r="O436" s="2">
        <f t="shared" si="197"/>
        <v>4</v>
      </c>
      <c r="P436" s="2">
        <f t="shared" si="198"/>
        <v>4</v>
      </c>
      <c r="R436" s="2">
        <f t="shared" si="199"/>
        <v>1</v>
      </c>
    </row>
    <row r="437" hidden="1">
      <c r="A437" s="1" t="s">
        <v>941</v>
      </c>
      <c r="D437" s="1">
        <v>-1.0</v>
      </c>
      <c r="E437" s="1">
        <v>-1.0</v>
      </c>
      <c r="F437" s="2">
        <f t="shared" si="1"/>
        <v>1</v>
      </c>
    </row>
    <row r="438">
      <c r="A438" s="1" t="s">
        <v>942</v>
      </c>
      <c r="B438" s="1" t="s">
        <v>933</v>
      </c>
      <c r="C438" s="1" t="s">
        <v>644</v>
      </c>
      <c r="D438" s="1">
        <v>300.0</v>
      </c>
      <c r="E438" s="1">
        <v>300.0</v>
      </c>
      <c r="F438" s="2">
        <f t="shared" si="1"/>
        <v>0</v>
      </c>
      <c r="G438" s="1">
        <v>300.0</v>
      </c>
      <c r="H438" s="1">
        <v>300.0</v>
      </c>
      <c r="O438" s="2">
        <f t="shared" ref="O438:O442" si="200">LEN(C438) - LEN(SUBSTITUTE(C438, ";", "")) + 1</f>
        <v>2</v>
      </c>
      <c r="P438" s="2">
        <f t="shared" ref="P438:P442" si="201">LEN(B438) - LEN(SUBSTITUTE(B438, ";", "")) + 1</f>
        <v>2</v>
      </c>
      <c r="R438" s="2">
        <f t="shared" ref="R438:R442" si="202">IF(B438 = C438, 0, 1)</f>
        <v>1</v>
      </c>
    </row>
    <row r="439">
      <c r="A439" s="1" t="s">
        <v>943</v>
      </c>
      <c r="B439" s="1" t="s">
        <v>22</v>
      </c>
      <c r="C439" s="1" t="s">
        <v>22</v>
      </c>
      <c r="D439" s="1">
        <v>60.0</v>
      </c>
      <c r="E439" s="1">
        <v>60.0</v>
      </c>
      <c r="F439" s="2">
        <f t="shared" si="1"/>
        <v>1</v>
      </c>
      <c r="G439" s="1">
        <v>60.0</v>
      </c>
      <c r="H439" s="1">
        <v>60.0</v>
      </c>
      <c r="O439" s="2">
        <f t="shared" si="200"/>
        <v>1</v>
      </c>
      <c r="P439" s="2">
        <f t="shared" si="201"/>
        <v>1</v>
      </c>
      <c r="R439" s="2">
        <f t="shared" si="202"/>
        <v>0</v>
      </c>
    </row>
    <row r="440">
      <c r="A440" s="1" t="s">
        <v>944</v>
      </c>
      <c r="B440" s="1" t="s">
        <v>945</v>
      </c>
      <c r="C440" s="1" t="s">
        <v>945</v>
      </c>
      <c r="D440" s="1">
        <v>176.0</v>
      </c>
      <c r="E440" s="1">
        <v>279.0</v>
      </c>
      <c r="F440" s="2">
        <f t="shared" si="1"/>
        <v>1</v>
      </c>
      <c r="G440" s="1">
        <v>176.0</v>
      </c>
      <c r="H440" s="1">
        <v>279.0</v>
      </c>
      <c r="O440" s="2">
        <f t="shared" si="200"/>
        <v>1</v>
      </c>
      <c r="P440" s="2">
        <f t="shared" si="201"/>
        <v>1</v>
      </c>
      <c r="R440" s="2">
        <f t="shared" si="202"/>
        <v>0</v>
      </c>
    </row>
    <row r="441">
      <c r="A441" s="1" t="s">
        <v>946</v>
      </c>
      <c r="B441" s="1" t="s">
        <v>947</v>
      </c>
      <c r="C441" s="1" t="s">
        <v>947</v>
      </c>
      <c r="D441" s="1">
        <v>300.0</v>
      </c>
      <c r="E441" s="1">
        <v>300.0</v>
      </c>
      <c r="F441" s="2">
        <f t="shared" si="1"/>
        <v>1</v>
      </c>
      <c r="G441" s="1">
        <v>300.0</v>
      </c>
      <c r="H441" s="1">
        <v>300.0</v>
      </c>
      <c r="O441" s="2">
        <f t="shared" si="200"/>
        <v>1</v>
      </c>
      <c r="P441" s="2">
        <f t="shared" si="201"/>
        <v>1</v>
      </c>
      <c r="R441" s="2">
        <f t="shared" si="202"/>
        <v>0</v>
      </c>
    </row>
    <row r="442">
      <c r="A442" s="1" t="s">
        <v>948</v>
      </c>
      <c r="B442" s="1" t="s">
        <v>949</v>
      </c>
      <c r="C442" s="1" t="s">
        <v>949</v>
      </c>
      <c r="D442" s="1">
        <v>20.0</v>
      </c>
      <c r="E442" s="1">
        <v>20.0</v>
      </c>
      <c r="F442" s="2">
        <f t="shared" si="1"/>
        <v>1</v>
      </c>
      <c r="G442" s="1">
        <v>20.0</v>
      </c>
      <c r="H442" s="1">
        <v>20.0</v>
      </c>
      <c r="O442" s="2">
        <f t="shared" si="200"/>
        <v>1</v>
      </c>
      <c r="P442" s="2">
        <f t="shared" si="201"/>
        <v>1</v>
      </c>
      <c r="R442" s="2">
        <f t="shared" si="202"/>
        <v>0</v>
      </c>
    </row>
    <row r="443" hidden="1">
      <c r="A443" s="1" t="s">
        <v>950</v>
      </c>
      <c r="D443" s="1">
        <v>-1.0</v>
      </c>
      <c r="E443" s="1">
        <v>-1.0</v>
      </c>
      <c r="F443" s="2">
        <f t="shared" si="1"/>
        <v>1</v>
      </c>
    </row>
    <row r="444">
      <c r="A444" s="1" t="s">
        <v>951</v>
      </c>
      <c r="B444" s="1" t="s">
        <v>952</v>
      </c>
      <c r="C444" s="1" t="s">
        <v>952</v>
      </c>
      <c r="D444" s="1">
        <v>3600.0</v>
      </c>
      <c r="E444" s="1">
        <v>3600.0</v>
      </c>
      <c r="F444" s="2">
        <f t="shared" si="1"/>
        <v>1</v>
      </c>
      <c r="G444" s="1">
        <v>3600.0</v>
      </c>
      <c r="H444" s="1">
        <v>3600.0</v>
      </c>
      <c r="O444" s="2">
        <f>LEN(C444) - LEN(SUBSTITUTE(C444, ";", "")) + 1</f>
        <v>1</v>
      </c>
      <c r="P444" s="2">
        <f>LEN(B444) - LEN(SUBSTITUTE(B444, ";", "")) + 1</f>
        <v>1</v>
      </c>
      <c r="R444" s="2">
        <f>IF(B444 = C444, 0, 1)</f>
        <v>0</v>
      </c>
    </row>
    <row r="445" hidden="1">
      <c r="A445" s="1" t="s">
        <v>953</v>
      </c>
      <c r="D445" s="1">
        <v>-1.0</v>
      </c>
      <c r="E445" s="1">
        <v>-1.0</v>
      </c>
      <c r="F445" s="2">
        <f t="shared" si="1"/>
        <v>1</v>
      </c>
    </row>
    <row r="446" hidden="1">
      <c r="A446" s="1" t="s">
        <v>954</v>
      </c>
      <c r="D446" s="1">
        <v>-1.0</v>
      </c>
      <c r="E446" s="1">
        <v>-1.0</v>
      </c>
      <c r="F446" s="2">
        <f t="shared" si="1"/>
        <v>1</v>
      </c>
    </row>
    <row r="447">
      <c r="A447" s="1" t="s">
        <v>955</v>
      </c>
      <c r="B447" s="1" t="s">
        <v>956</v>
      </c>
      <c r="C447" s="1" t="s">
        <v>957</v>
      </c>
      <c r="D447" s="1">
        <v>60.0</v>
      </c>
      <c r="E447" s="1">
        <v>60.0</v>
      </c>
      <c r="F447" s="2">
        <f t="shared" si="1"/>
        <v>0</v>
      </c>
      <c r="G447" s="1">
        <v>60.0</v>
      </c>
      <c r="H447" s="1">
        <v>60.0</v>
      </c>
      <c r="O447" s="2">
        <f t="shared" ref="O447:O455" si="203">LEN(C447) - LEN(SUBSTITUTE(C447, ";", "")) + 1</f>
        <v>4</v>
      </c>
      <c r="P447" s="2">
        <f t="shared" ref="P447:P455" si="204">LEN(B447) - LEN(SUBSTITUTE(B447, ";", "")) + 1</f>
        <v>4</v>
      </c>
      <c r="R447" s="2">
        <f t="shared" ref="R447:R455" si="205">IF(B447 = C447, 0, 1)</f>
        <v>1</v>
      </c>
    </row>
    <row r="448">
      <c r="A448" s="1" t="s">
        <v>958</v>
      </c>
      <c r="B448" s="1" t="s">
        <v>959</v>
      </c>
      <c r="C448" s="1" t="s">
        <v>960</v>
      </c>
      <c r="D448" s="1">
        <v>212.0</v>
      </c>
      <c r="E448" s="1">
        <v>300.0</v>
      </c>
      <c r="F448" s="2">
        <f t="shared" si="1"/>
        <v>0</v>
      </c>
      <c r="G448" s="1">
        <v>212.0</v>
      </c>
      <c r="H448" s="1">
        <v>300.0</v>
      </c>
      <c r="O448" s="2">
        <f t="shared" si="203"/>
        <v>16</v>
      </c>
      <c r="P448" s="2">
        <f t="shared" si="204"/>
        <v>16</v>
      </c>
      <c r="R448" s="2">
        <f t="shared" si="205"/>
        <v>1</v>
      </c>
    </row>
    <row r="449">
      <c r="A449" s="1" t="s">
        <v>961</v>
      </c>
      <c r="B449" s="1" t="s">
        <v>289</v>
      </c>
      <c r="C449" s="1" t="s">
        <v>289</v>
      </c>
      <c r="D449" s="1">
        <v>16357.0</v>
      </c>
      <c r="E449" s="1">
        <v>21600.0</v>
      </c>
      <c r="F449" s="2">
        <f t="shared" si="1"/>
        <v>1</v>
      </c>
      <c r="G449" s="1">
        <v>16357.0</v>
      </c>
      <c r="H449" s="1">
        <v>21600.0</v>
      </c>
      <c r="O449" s="2">
        <f t="shared" si="203"/>
        <v>2</v>
      </c>
      <c r="P449" s="2">
        <f t="shared" si="204"/>
        <v>2</v>
      </c>
      <c r="R449" s="2">
        <f t="shared" si="205"/>
        <v>0</v>
      </c>
    </row>
    <row r="450">
      <c r="A450" s="1" t="s">
        <v>962</v>
      </c>
      <c r="B450" s="1" t="s">
        <v>963</v>
      </c>
      <c r="C450" s="1" t="s">
        <v>963</v>
      </c>
      <c r="D450" s="1">
        <v>1800.0</v>
      </c>
      <c r="E450" s="1">
        <v>499.0</v>
      </c>
      <c r="F450" s="2">
        <f t="shared" si="1"/>
        <v>1</v>
      </c>
      <c r="G450" s="1">
        <v>1800.0</v>
      </c>
      <c r="H450" s="1">
        <v>499.0</v>
      </c>
      <c r="O450" s="2">
        <f t="shared" si="203"/>
        <v>1</v>
      </c>
      <c r="P450" s="2">
        <f t="shared" si="204"/>
        <v>1</v>
      </c>
      <c r="R450" s="2">
        <f t="shared" si="205"/>
        <v>0</v>
      </c>
    </row>
    <row r="451">
      <c r="A451" s="1" t="s">
        <v>964</v>
      </c>
      <c r="B451" s="1" t="s">
        <v>533</v>
      </c>
      <c r="C451" s="1" t="s">
        <v>533</v>
      </c>
      <c r="D451" s="1">
        <v>300.0</v>
      </c>
      <c r="E451" s="1">
        <v>300.0</v>
      </c>
      <c r="F451" s="2">
        <f t="shared" si="1"/>
        <v>1</v>
      </c>
      <c r="G451" s="1">
        <v>300.0</v>
      </c>
      <c r="H451" s="1">
        <v>300.0</v>
      </c>
      <c r="O451" s="2">
        <f t="shared" si="203"/>
        <v>1</v>
      </c>
      <c r="P451" s="2">
        <f t="shared" si="204"/>
        <v>1</v>
      </c>
      <c r="R451" s="2">
        <f t="shared" si="205"/>
        <v>0</v>
      </c>
    </row>
    <row r="452">
      <c r="A452" s="1" t="s">
        <v>965</v>
      </c>
      <c r="B452" s="1" t="s">
        <v>966</v>
      </c>
      <c r="C452" s="1" t="s">
        <v>966</v>
      </c>
      <c r="D452" s="1">
        <v>180.0</v>
      </c>
      <c r="E452" s="1">
        <v>180.0</v>
      </c>
      <c r="F452" s="2">
        <f t="shared" si="1"/>
        <v>1</v>
      </c>
      <c r="G452" s="1">
        <v>180.0</v>
      </c>
      <c r="H452" s="1">
        <v>180.0</v>
      </c>
      <c r="O452" s="2">
        <f t="shared" si="203"/>
        <v>1</v>
      </c>
      <c r="P452" s="2">
        <f t="shared" si="204"/>
        <v>1</v>
      </c>
      <c r="R452" s="2">
        <f t="shared" si="205"/>
        <v>0</v>
      </c>
    </row>
    <row r="453">
      <c r="A453" s="1" t="s">
        <v>967</v>
      </c>
      <c r="B453" s="1" t="s">
        <v>533</v>
      </c>
      <c r="C453" s="1" t="s">
        <v>533</v>
      </c>
      <c r="D453" s="1">
        <v>3600.0</v>
      </c>
      <c r="E453" s="1">
        <v>3600.0</v>
      </c>
      <c r="F453" s="2">
        <f t="shared" si="1"/>
        <v>1</v>
      </c>
      <c r="G453" s="1">
        <v>3600.0</v>
      </c>
      <c r="H453" s="1">
        <v>3600.0</v>
      </c>
      <c r="O453" s="2">
        <f t="shared" si="203"/>
        <v>1</v>
      </c>
      <c r="P453" s="2">
        <f t="shared" si="204"/>
        <v>1</v>
      </c>
      <c r="R453" s="2">
        <f t="shared" si="205"/>
        <v>0</v>
      </c>
    </row>
    <row r="454">
      <c r="A454" s="1" t="s">
        <v>968</v>
      </c>
      <c r="B454" s="1" t="s">
        <v>969</v>
      </c>
      <c r="C454" s="1" t="s">
        <v>970</v>
      </c>
      <c r="D454" s="1">
        <v>21.0</v>
      </c>
      <c r="E454" s="1">
        <v>60.0</v>
      </c>
      <c r="F454" s="2">
        <f t="shared" si="1"/>
        <v>0</v>
      </c>
      <c r="G454" s="1">
        <v>21.0</v>
      </c>
      <c r="H454" s="1">
        <v>60.0</v>
      </c>
      <c r="O454" s="2">
        <f t="shared" si="203"/>
        <v>1</v>
      </c>
      <c r="P454" s="2">
        <f t="shared" si="204"/>
        <v>1</v>
      </c>
      <c r="R454" s="2">
        <f t="shared" si="205"/>
        <v>1</v>
      </c>
    </row>
    <row r="455">
      <c r="A455" s="1" t="s">
        <v>971</v>
      </c>
      <c r="B455" s="1" t="s">
        <v>972</v>
      </c>
      <c r="C455" s="1" t="s">
        <v>972</v>
      </c>
      <c r="D455" s="1">
        <v>3600.0</v>
      </c>
      <c r="E455" s="1">
        <v>3600.0</v>
      </c>
      <c r="F455" s="2">
        <f t="shared" si="1"/>
        <v>1</v>
      </c>
      <c r="G455" s="1">
        <v>3600.0</v>
      </c>
      <c r="H455" s="1">
        <v>3600.0</v>
      </c>
      <c r="O455" s="2">
        <f t="shared" si="203"/>
        <v>1</v>
      </c>
      <c r="P455" s="2">
        <f t="shared" si="204"/>
        <v>1</v>
      </c>
      <c r="R455" s="2">
        <f t="shared" si="205"/>
        <v>0</v>
      </c>
    </row>
    <row r="456" hidden="1">
      <c r="A456" s="1" t="s">
        <v>973</v>
      </c>
      <c r="D456" s="1">
        <v>-1.0</v>
      </c>
      <c r="E456" s="1">
        <v>-1.0</v>
      </c>
      <c r="F456" s="2">
        <f t="shared" si="1"/>
        <v>1</v>
      </c>
    </row>
    <row r="457">
      <c r="A457" s="1" t="s">
        <v>974</v>
      </c>
      <c r="B457" s="1" t="s">
        <v>975</v>
      </c>
      <c r="C457" s="1" t="s">
        <v>976</v>
      </c>
      <c r="D457" s="1">
        <v>300.0</v>
      </c>
      <c r="E457" s="1">
        <v>300.0</v>
      </c>
      <c r="F457" s="2">
        <f t="shared" si="1"/>
        <v>0</v>
      </c>
      <c r="G457" s="1">
        <v>300.0</v>
      </c>
      <c r="H457" s="1">
        <v>300.0</v>
      </c>
      <c r="O457" s="2">
        <f t="shared" ref="O457:O462" si="206">LEN(C457) - LEN(SUBSTITUTE(C457, ";", "")) + 1</f>
        <v>1</v>
      </c>
      <c r="P457" s="2">
        <f t="shared" ref="P457:P462" si="207">LEN(B457) - LEN(SUBSTITUTE(B457, ";", "")) + 1</f>
        <v>1</v>
      </c>
      <c r="R457" s="2">
        <f t="shared" ref="R457:R462" si="208">IF(B457 = C457, 0, 1)</f>
        <v>1</v>
      </c>
    </row>
    <row r="458">
      <c r="A458" s="1" t="s">
        <v>977</v>
      </c>
      <c r="B458" s="1" t="s">
        <v>329</v>
      </c>
      <c r="C458" s="1" t="s">
        <v>978</v>
      </c>
      <c r="D458" s="1">
        <v>300.0</v>
      </c>
      <c r="E458" s="1">
        <v>300.0</v>
      </c>
      <c r="F458" s="2">
        <f t="shared" si="1"/>
        <v>0</v>
      </c>
      <c r="G458" s="1">
        <v>300.0</v>
      </c>
      <c r="H458" s="1">
        <v>300.0</v>
      </c>
      <c r="O458" s="2">
        <f t="shared" si="206"/>
        <v>1</v>
      </c>
      <c r="P458" s="2">
        <f t="shared" si="207"/>
        <v>1</v>
      </c>
      <c r="R458" s="2">
        <f t="shared" si="208"/>
        <v>1</v>
      </c>
    </row>
    <row r="459">
      <c r="A459" s="1" t="s">
        <v>979</v>
      </c>
      <c r="B459" s="1" t="s">
        <v>980</v>
      </c>
      <c r="C459" s="1" t="s">
        <v>981</v>
      </c>
      <c r="D459" s="1">
        <v>300.0</v>
      </c>
      <c r="E459" s="1">
        <v>300.0</v>
      </c>
      <c r="F459" s="2">
        <f t="shared" si="1"/>
        <v>0</v>
      </c>
      <c r="G459" s="1">
        <v>300.0</v>
      </c>
      <c r="H459" s="1">
        <v>300.0</v>
      </c>
      <c r="O459" s="2">
        <f t="shared" si="206"/>
        <v>16</v>
      </c>
      <c r="P459" s="2">
        <f t="shared" si="207"/>
        <v>16</v>
      </c>
      <c r="R459" s="2">
        <f t="shared" si="208"/>
        <v>1</v>
      </c>
    </row>
    <row r="460">
      <c r="A460" s="1" t="s">
        <v>982</v>
      </c>
      <c r="B460" s="1" t="s">
        <v>983</v>
      </c>
      <c r="C460" s="1" t="s">
        <v>984</v>
      </c>
      <c r="D460" s="1">
        <v>3600.0</v>
      </c>
      <c r="E460" s="1">
        <v>2342.0</v>
      </c>
      <c r="F460" s="2">
        <f t="shared" si="1"/>
        <v>0</v>
      </c>
      <c r="G460" s="1">
        <v>3600.0</v>
      </c>
      <c r="H460" s="1">
        <v>2342.0</v>
      </c>
      <c r="O460" s="2">
        <f t="shared" si="206"/>
        <v>2</v>
      </c>
      <c r="P460" s="2">
        <f t="shared" si="207"/>
        <v>2</v>
      </c>
      <c r="R460" s="2">
        <f t="shared" si="208"/>
        <v>1</v>
      </c>
    </row>
    <row r="461">
      <c r="A461" s="1" t="s">
        <v>985</v>
      </c>
      <c r="B461" s="1" t="s">
        <v>986</v>
      </c>
      <c r="C461" s="1" t="s">
        <v>986</v>
      </c>
      <c r="D461" s="1">
        <v>109.0</v>
      </c>
      <c r="E461" s="1">
        <v>300.0</v>
      </c>
      <c r="F461" s="2">
        <f t="shared" si="1"/>
        <v>1</v>
      </c>
      <c r="G461" s="1">
        <v>109.0</v>
      </c>
      <c r="H461" s="1">
        <v>300.0</v>
      </c>
      <c r="O461" s="2">
        <f t="shared" si="206"/>
        <v>1</v>
      </c>
      <c r="P461" s="2">
        <f t="shared" si="207"/>
        <v>1</v>
      </c>
      <c r="R461" s="2">
        <f t="shared" si="208"/>
        <v>0</v>
      </c>
    </row>
    <row r="462">
      <c r="A462" s="1" t="s">
        <v>987</v>
      </c>
      <c r="B462" s="1" t="s">
        <v>988</v>
      </c>
      <c r="C462" s="1" t="s">
        <v>988</v>
      </c>
      <c r="D462" s="1">
        <v>300.0</v>
      </c>
      <c r="E462" s="1">
        <v>300.0</v>
      </c>
      <c r="F462" s="2">
        <f t="shared" si="1"/>
        <v>1</v>
      </c>
      <c r="G462" s="1">
        <v>300.0</v>
      </c>
      <c r="H462" s="1">
        <v>300.0</v>
      </c>
      <c r="O462" s="2">
        <f t="shared" si="206"/>
        <v>1</v>
      </c>
      <c r="P462" s="2">
        <f t="shared" si="207"/>
        <v>1</v>
      </c>
      <c r="R462" s="2">
        <f t="shared" si="208"/>
        <v>0</v>
      </c>
    </row>
    <row r="463" hidden="1">
      <c r="A463" s="1" t="s">
        <v>989</v>
      </c>
      <c r="D463" s="1">
        <v>-1.0</v>
      </c>
      <c r="E463" s="1">
        <v>-1.0</v>
      </c>
      <c r="F463" s="2">
        <f t="shared" si="1"/>
        <v>1</v>
      </c>
    </row>
    <row r="464">
      <c r="A464" s="1" t="s">
        <v>990</v>
      </c>
      <c r="B464" s="1" t="s">
        <v>991</v>
      </c>
      <c r="C464" s="1" t="s">
        <v>991</v>
      </c>
      <c r="D464" s="1">
        <v>600.0</v>
      </c>
      <c r="E464" s="1">
        <v>127.0</v>
      </c>
      <c r="F464" s="2">
        <f t="shared" si="1"/>
        <v>1</v>
      </c>
      <c r="G464" s="1">
        <v>600.0</v>
      </c>
      <c r="H464" s="1">
        <v>127.0</v>
      </c>
      <c r="O464" s="2">
        <f>LEN(C464) - LEN(SUBSTITUTE(C464, ";", "")) + 1</f>
        <v>2</v>
      </c>
      <c r="P464" s="2">
        <f>LEN(B464) - LEN(SUBSTITUTE(B464, ";", "")) + 1</f>
        <v>2</v>
      </c>
      <c r="R464" s="2">
        <f>IF(B464 = C464, 0, 1)</f>
        <v>0</v>
      </c>
    </row>
    <row r="465" hidden="1">
      <c r="A465" s="1" t="s">
        <v>992</v>
      </c>
      <c r="D465" s="1">
        <v>-1.0</v>
      </c>
      <c r="E465" s="1">
        <v>-1.0</v>
      </c>
      <c r="F465" s="2">
        <f t="shared" si="1"/>
        <v>1</v>
      </c>
    </row>
    <row r="466" hidden="1">
      <c r="A466" s="1" t="s">
        <v>993</v>
      </c>
      <c r="D466" s="1">
        <v>-1.0</v>
      </c>
      <c r="E466" s="1">
        <v>-1.0</v>
      </c>
      <c r="F466" s="2">
        <f t="shared" si="1"/>
        <v>1</v>
      </c>
    </row>
    <row r="467" hidden="1">
      <c r="A467" s="1" t="s">
        <v>994</v>
      </c>
      <c r="D467" s="1">
        <v>-1.0</v>
      </c>
      <c r="E467" s="1">
        <v>-1.0</v>
      </c>
      <c r="F467" s="2">
        <f t="shared" si="1"/>
        <v>1</v>
      </c>
    </row>
    <row r="468">
      <c r="A468" s="1" t="s">
        <v>995</v>
      </c>
      <c r="B468" s="1" t="s">
        <v>746</v>
      </c>
      <c r="C468" s="1" t="s">
        <v>996</v>
      </c>
      <c r="D468" s="1">
        <v>134.0</v>
      </c>
      <c r="E468" s="1">
        <v>300.0</v>
      </c>
      <c r="F468" s="2">
        <f t="shared" si="1"/>
        <v>0</v>
      </c>
      <c r="G468" s="1">
        <v>134.0</v>
      </c>
      <c r="H468" s="1">
        <v>300.0</v>
      </c>
      <c r="O468" s="2">
        <f t="shared" ref="O468:O469" si="209">LEN(C468) - LEN(SUBSTITUTE(C468, ";", "")) + 1</f>
        <v>1</v>
      </c>
      <c r="P468" s="2">
        <f t="shared" ref="P468:P469" si="210">LEN(B468) - LEN(SUBSTITUTE(B468, ";", "")) + 1</f>
        <v>1</v>
      </c>
      <c r="R468" s="2">
        <f t="shared" ref="R468:R469" si="211">IF(B468 = C468, 0, 1)</f>
        <v>1</v>
      </c>
    </row>
    <row r="469">
      <c r="A469" s="1" t="s">
        <v>997</v>
      </c>
      <c r="B469" s="1" t="s">
        <v>51</v>
      </c>
      <c r="C469" s="1" t="s">
        <v>51</v>
      </c>
      <c r="D469" s="1">
        <v>300.0</v>
      </c>
      <c r="E469" s="1">
        <v>219.0</v>
      </c>
      <c r="F469" s="2">
        <f t="shared" si="1"/>
        <v>1</v>
      </c>
      <c r="G469" s="1">
        <v>300.0</v>
      </c>
      <c r="H469" s="1">
        <v>219.0</v>
      </c>
      <c r="O469" s="2">
        <f t="shared" si="209"/>
        <v>1</v>
      </c>
      <c r="P469" s="2">
        <f t="shared" si="210"/>
        <v>1</v>
      </c>
      <c r="R469" s="2">
        <f t="shared" si="211"/>
        <v>0</v>
      </c>
    </row>
    <row r="470" hidden="1">
      <c r="A470" s="1" t="s">
        <v>998</v>
      </c>
      <c r="D470" s="1">
        <v>-1.0</v>
      </c>
      <c r="E470" s="1">
        <v>-1.0</v>
      </c>
      <c r="F470" s="2">
        <f t="shared" si="1"/>
        <v>1</v>
      </c>
    </row>
    <row r="471">
      <c r="A471" s="1" t="s">
        <v>999</v>
      </c>
      <c r="B471" s="1" t="s">
        <v>1000</v>
      </c>
      <c r="C471" s="1" t="s">
        <v>1001</v>
      </c>
      <c r="D471" s="1">
        <v>60.0</v>
      </c>
      <c r="E471" s="1">
        <v>60.0</v>
      </c>
      <c r="F471" s="2">
        <f t="shared" si="1"/>
        <v>0</v>
      </c>
      <c r="G471" s="1">
        <v>60.0</v>
      </c>
      <c r="H471" s="1">
        <v>60.0</v>
      </c>
      <c r="O471" s="2">
        <f>LEN(C471) - LEN(SUBSTITUTE(C471, ";", "")) + 1</f>
        <v>4</v>
      </c>
      <c r="P471" s="2">
        <f>LEN(B471) - LEN(SUBSTITUTE(B471, ";", "")) + 1</f>
        <v>4</v>
      </c>
      <c r="R471" s="2">
        <f>IF(B471 = C471, 0, 1)</f>
        <v>1</v>
      </c>
    </row>
    <row r="472" hidden="1">
      <c r="A472" s="1" t="s">
        <v>1002</v>
      </c>
      <c r="D472" s="1">
        <v>-1.0</v>
      </c>
      <c r="E472" s="1">
        <v>-1.0</v>
      </c>
      <c r="F472" s="2">
        <f t="shared" si="1"/>
        <v>1</v>
      </c>
    </row>
    <row r="473" hidden="1">
      <c r="A473" s="1" t="s">
        <v>1003</v>
      </c>
      <c r="D473" s="1">
        <v>-1.0</v>
      </c>
      <c r="E473" s="1">
        <v>-1.0</v>
      </c>
      <c r="F473" s="2">
        <f t="shared" si="1"/>
        <v>1</v>
      </c>
    </row>
    <row r="474">
      <c r="A474" s="1" t="s">
        <v>1004</v>
      </c>
      <c r="B474" s="1" t="s">
        <v>1005</v>
      </c>
      <c r="C474" s="1" t="s">
        <v>1005</v>
      </c>
      <c r="D474" s="1">
        <v>300.0</v>
      </c>
      <c r="E474" s="1">
        <v>300.0</v>
      </c>
      <c r="F474" s="2">
        <f t="shared" si="1"/>
        <v>1</v>
      </c>
      <c r="G474" s="1">
        <v>300.0</v>
      </c>
      <c r="H474" s="1">
        <v>300.0</v>
      </c>
      <c r="O474" s="2">
        <f t="shared" ref="O474:O475" si="212">LEN(C474) - LEN(SUBSTITUTE(C474, ";", "")) + 1</f>
        <v>1</v>
      </c>
      <c r="P474" s="2">
        <f t="shared" ref="P474:P475" si="213">LEN(B474) - LEN(SUBSTITUTE(B474, ";", "")) + 1</f>
        <v>1</v>
      </c>
      <c r="R474" s="2">
        <f t="shared" ref="R474:R475" si="214">IF(B474 = C474, 0, 1)</f>
        <v>0</v>
      </c>
    </row>
    <row r="475">
      <c r="A475" s="1" t="s">
        <v>1006</v>
      </c>
      <c r="B475" s="1" t="s">
        <v>1007</v>
      </c>
      <c r="C475" s="1" t="s">
        <v>1008</v>
      </c>
      <c r="D475" s="1">
        <v>120.0</v>
      </c>
      <c r="E475" s="1">
        <v>120.0</v>
      </c>
      <c r="F475" s="2">
        <f t="shared" si="1"/>
        <v>0</v>
      </c>
      <c r="G475" s="1">
        <v>120.0</v>
      </c>
      <c r="H475" s="1">
        <v>120.0</v>
      </c>
      <c r="O475" s="2">
        <f t="shared" si="212"/>
        <v>4</v>
      </c>
      <c r="P475" s="2">
        <f t="shared" si="213"/>
        <v>4</v>
      </c>
      <c r="R475" s="2">
        <f t="shared" si="214"/>
        <v>1</v>
      </c>
    </row>
    <row r="476" hidden="1">
      <c r="A476" s="1" t="s">
        <v>1009</v>
      </c>
      <c r="D476" s="1">
        <v>-1.0</v>
      </c>
      <c r="E476" s="1">
        <v>-1.0</v>
      </c>
      <c r="F476" s="2">
        <f t="shared" si="1"/>
        <v>1</v>
      </c>
    </row>
    <row r="477" hidden="1">
      <c r="A477" s="1" t="s">
        <v>1010</v>
      </c>
      <c r="D477" s="1">
        <v>-1.0</v>
      </c>
      <c r="E477" s="1">
        <v>-1.0</v>
      </c>
      <c r="F477" s="2">
        <f t="shared" si="1"/>
        <v>1</v>
      </c>
    </row>
    <row r="478">
      <c r="A478" s="1" t="s">
        <v>1011</v>
      </c>
      <c r="B478" s="1" t="s">
        <v>1012</v>
      </c>
      <c r="C478" s="1" t="s">
        <v>1012</v>
      </c>
      <c r="D478" s="1">
        <v>300.0</v>
      </c>
      <c r="E478" s="1">
        <v>300.0</v>
      </c>
      <c r="F478" s="2">
        <f t="shared" si="1"/>
        <v>1</v>
      </c>
      <c r="G478" s="1">
        <v>300.0</v>
      </c>
      <c r="H478" s="1">
        <v>300.0</v>
      </c>
      <c r="O478" s="2">
        <f>LEN(C478) - LEN(SUBSTITUTE(C478, ";", "")) + 1</f>
        <v>1</v>
      </c>
      <c r="P478" s="2">
        <f>LEN(B478) - LEN(SUBSTITUTE(B478, ";", "")) + 1</f>
        <v>1</v>
      </c>
      <c r="R478" s="2">
        <f>IF(B478 = C478, 0, 1)</f>
        <v>0</v>
      </c>
    </row>
    <row r="479" hidden="1">
      <c r="A479" s="1" t="s">
        <v>1013</v>
      </c>
      <c r="D479" s="1">
        <v>-1.0</v>
      </c>
      <c r="E479" s="1">
        <v>-1.0</v>
      </c>
      <c r="F479" s="2">
        <f t="shared" si="1"/>
        <v>1</v>
      </c>
    </row>
    <row r="480">
      <c r="A480" s="1" t="s">
        <v>1014</v>
      </c>
      <c r="B480" s="1" t="s">
        <v>1015</v>
      </c>
      <c r="C480" s="1" t="s">
        <v>1016</v>
      </c>
      <c r="D480" s="1">
        <v>60.0</v>
      </c>
      <c r="E480" s="1">
        <v>60.0</v>
      </c>
      <c r="F480" s="2">
        <f t="shared" si="1"/>
        <v>0</v>
      </c>
      <c r="G480" s="1">
        <v>60.0</v>
      </c>
      <c r="H480" s="1">
        <v>60.0</v>
      </c>
      <c r="O480" s="2">
        <f t="shared" ref="O480:O481" si="215">LEN(C480) - LEN(SUBSTITUTE(C480, ";", "")) + 1</f>
        <v>4</v>
      </c>
      <c r="P480" s="2">
        <f t="shared" ref="P480:P481" si="216">LEN(B480) - LEN(SUBSTITUTE(B480, ";", "")) + 1</f>
        <v>4</v>
      </c>
      <c r="R480" s="2">
        <f t="shared" ref="R480:R481" si="217">IF(B480 = C480, 0, 1)</f>
        <v>1</v>
      </c>
    </row>
    <row r="481">
      <c r="A481" s="1" t="s">
        <v>1017</v>
      </c>
      <c r="B481" s="1" t="s">
        <v>1018</v>
      </c>
      <c r="C481" s="1" t="s">
        <v>1019</v>
      </c>
      <c r="D481" s="1">
        <v>234.0</v>
      </c>
      <c r="E481" s="1">
        <v>300.0</v>
      </c>
      <c r="F481" s="2">
        <f t="shared" si="1"/>
        <v>0</v>
      </c>
      <c r="G481" s="1">
        <v>234.0</v>
      </c>
      <c r="H481" s="1">
        <v>300.0</v>
      </c>
      <c r="O481" s="2">
        <f t="shared" si="215"/>
        <v>16</v>
      </c>
      <c r="P481" s="2">
        <f t="shared" si="216"/>
        <v>16</v>
      </c>
      <c r="R481" s="2">
        <f t="shared" si="217"/>
        <v>1</v>
      </c>
    </row>
    <row r="482" hidden="1">
      <c r="A482" s="1" t="s">
        <v>1020</v>
      </c>
      <c r="D482" s="1">
        <v>-1.0</v>
      </c>
      <c r="E482" s="1">
        <v>-1.0</v>
      </c>
      <c r="F482" s="2">
        <f t="shared" si="1"/>
        <v>1</v>
      </c>
    </row>
    <row r="483">
      <c r="A483" s="1" t="s">
        <v>1021</v>
      </c>
      <c r="B483" s="1" t="s">
        <v>1022</v>
      </c>
      <c r="C483" s="1" t="s">
        <v>1022</v>
      </c>
      <c r="D483" s="1">
        <v>300.0</v>
      </c>
      <c r="E483" s="1">
        <v>197.0</v>
      </c>
      <c r="F483" s="2">
        <f t="shared" si="1"/>
        <v>1</v>
      </c>
      <c r="G483" s="1">
        <v>300.0</v>
      </c>
      <c r="H483" s="1">
        <v>197.0</v>
      </c>
      <c r="O483" s="2">
        <f t="shared" ref="O483:O493" si="218">LEN(C483) - LEN(SUBSTITUTE(C483, ";", "")) + 1</f>
        <v>1</v>
      </c>
      <c r="P483" s="2">
        <f t="shared" ref="P483:P493" si="219">LEN(B483) - LEN(SUBSTITUTE(B483, ";", "")) + 1</f>
        <v>1</v>
      </c>
      <c r="R483" s="2">
        <f t="shared" ref="R483:R493" si="220">IF(B483 = C483, 0, 1)</f>
        <v>0</v>
      </c>
    </row>
    <row r="484">
      <c r="A484" s="1" t="s">
        <v>1023</v>
      </c>
      <c r="B484" s="1" t="s">
        <v>1024</v>
      </c>
      <c r="C484" s="1" t="s">
        <v>1025</v>
      </c>
      <c r="D484" s="1">
        <v>60.0</v>
      </c>
      <c r="E484" s="1">
        <v>60.0</v>
      </c>
      <c r="F484" s="2">
        <f t="shared" si="1"/>
        <v>0</v>
      </c>
      <c r="G484" s="1">
        <v>60.0</v>
      </c>
      <c r="H484" s="1">
        <v>60.0</v>
      </c>
      <c r="O484" s="2">
        <f t="shared" si="218"/>
        <v>1</v>
      </c>
      <c r="P484" s="2">
        <f t="shared" si="219"/>
        <v>1</v>
      </c>
      <c r="R484" s="2">
        <f t="shared" si="220"/>
        <v>1</v>
      </c>
    </row>
    <row r="485">
      <c r="A485" s="1" t="s">
        <v>1026</v>
      </c>
      <c r="B485" s="1" t="s">
        <v>1027</v>
      </c>
      <c r="C485" s="1" t="s">
        <v>1028</v>
      </c>
      <c r="D485" s="1">
        <v>60.0</v>
      </c>
      <c r="E485" s="1">
        <v>60.0</v>
      </c>
      <c r="F485" s="2">
        <f t="shared" si="1"/>
        <v>0</v>
      </c>
      <c r="G485" s="1">
        <v>60.0</v>
      </c>
      <c r="H485" s="1">
        <v>60.0</v>
      </c>
      <c r="O485" s="2">
        <f t="shared" si="218"/>
        <v>4</v>
      </c>
      <c r="P485" s="2">
        <f t="shared" si="219"/>
        <v>4</v>
      </c>
      <c r="R485" s="2">
        <f t="shared" si="220"/>
        <v>1</v>
      </c>
    </row>
    <row r="486">
      <c r="A486" s="1" t="s">
        <v>1029</v>
      </c>
      <c r="B486" s="1" t="s">
        <v>1030</v>
      </c>
      <c r="C486" s="1" t="s">
        <v>1031</v>
      </c>
      <c r="D486" s="1">
        <v>34.0</v>
      </c>
      <c r="E486" s="1">
        <v>300.0</v>
      </c>
      <c r="F486" s="2">
        <f t="shared" si="1"/>
        <v>0</v>
      </c>
      <c r="G486" s="1">
        <v>34.0</v>
      </c>
      <c r="H486" s="1">
        <v>300.0</v>
      </c>
      <c r="O486" s="2">
        <f t="shared" si="218"/>
        <v>16</v>
      </c>
      <c r="P486" s="2">
        <f t="shared" si="219"/>
        <v>16</v>
      </c>
      <c r="R486" s="2">
        <f t="shared" si="220"/>
        <v>1</v>
      </c>
    </row>
    <row r="487">
      <c r="A487" s="1" t="s">
        <v>1032</v>
      </c>
      <c r="B487" s="1" t="s">
        <v>1033</v>
      </c>
      <c r="C487" s="1" t="s">
        <v>1034</v>
      </c>
      <c r="D487" s="1">
        <v>5.0</v>
      </c>
      <c r="E487" s="1">
        <v>5.0</v>
      </c>
      <c r="F487" s="2">
        <f t="shared" si="1"/>
        <v>0</v>
      </c>
      <c r="G487" s="1">
        <v>5.0</v>
      </c>
      <c r="H487" s="1">
        <v>5.0</v>
      </c>
      <c r="O487" s="2">
        <f t="shared" si="218"/>
        <v>8</v>
      </c>
      <c r="P487" s="2">
        <f t="shared" si="219"/>
        <v>8</v>
      </c>
      <c r="R487" s="2">
        <f t="shared" si="220"/>
        <v>1</v>
      </c>
    </row>
    <row r="488">
      <c r="A488" s="1" t="s">
        <v>1035</v>
      </c>
      <c r="B488" s="1" t="s">
        <v>1036</v>
      </c>
      <c r="C488" s="1" t="s">
        <v>1036</v>
      </c>
      <c r="D488" s="1">
        <v>300.0</v>
      </c>
      <c r="E488" s="1">
        <v>300.0</v>
      </c>
      <c r="F488" s="2">
        <f t="shared" si="1"/>
        <v>1</v>
      </c>
      <c r="G488" s="1">
        <v>300.0</v>
      </c>
      <c r="H488" s="1">
        <v>300.0</v>
      </c>
      <c r="O488" s="2">
        <f t="shared" si="218"/>
        <v>1</v>
      </c>
      <c r="P488" s="2">
        <f t="shared" si="219"/>
        <v>1</v>
      </c>
      <c r="R488" s="2">
        <f t="shared" si="220"/>
        <v>0</v>
      </c>
    </row>
    <row r="489">
      <c r="A489" s="1" t="s">
        <v>1037</v>
      </c>
      <c r="B489" s="1" t="s">
        <v>1038</v>
      </c>
      <c r="C489" s="1" t="s">
        <v>1038</v>
      </c>
      <c r="D489" s="1">
        <v>300.0</v>
      </c>
      <c r="E489" s="1">
        <v>33.0</v>
      </c>
      <c r="F489" s="2">
        <f t="shared" si="1"/>
        <v>1</v>
      </c>
      <c r="G489" s="1">
        <v>300.0</v>
      </c>
      <c r="H489" s="1">
        <v>33.0</v>
      </c>
      <c r="O489" s="2">
        <f t="shared" si="218"/>
        <v>1</v>
      </c>
      <c r="P489" s="2">
        <f t="shared" si="219"/>
        <v>1</v>
      </c>
      <c r="R489" s="2">
        <f t="shared" si="220"/>
        <v>0</v>
      </c>
    </row>
    <row r="490">
      <c r="A490" s="1" t="s">
        <v>1039</v>
      </c>
      <c r="B490" s="1" t="s">
        <v>1040</v>
      </c>
      <c r="C490" s="1" t="s">
        <v>1040</v>
      </c>
      <c r="D490" s="1">
        <v>20.0</v>
      </c>
      <c r="E490" s="1">
        <v>20.0</v>
      </c>
      <c r="F490" s="2">
        <f t="shared" si="1"/>
        <v>1</v>
      </c>
      <c r="G490" s="1">
        <v>20.0</v>
      </c>
      <c r="H490" s="1">
        <v>20.0</v>
      </c>
      <c r="O490" s="2">
        <f t="shared" si="218"/>
        <v>2</v>
      </c>
      <c r="P490" s="2">
        <f t="shared" si="219"/>
        <v>2</v>
      </c>
      <c r="R490" s="2">
        <f t="shared" si="220"/>
        <v>0</v>
      </c>
    </row>
    <row r="491">
      <c r="A491" s="1" t="s">
        <v>1041</v>
      </c>
      <c r="B491" s="1" t="s">
        <v>1042</v>
      </c>
      <c r="C491" s="1" t="s">
        <v>1042</v>
      </c>
      <c r="D491" s="1">
        <v>60.0</v>
      </c>
      <c r="E491" s="1">
        <v>9.0</v>
      </c>
      <c r="F491" s="2">
        <f t="shared" si="1"/>
        <v>1</v>
      </c>
      <c r="G491" s="1">
        <v>60.0</v>
      </c>
      <c r="H491" s="1">
        <v>9.0</v>
      </c>
      <c r="O491" s="2">
        <f t="shared" si="218"/>
        <v>1</v>
      </c>
      <c r="P491" s="2">
        <f t="shared" si="219"/>
        <v>1</v>
      </c>
      <c r="R491" s="2">
        <f t="shared" si="220"/>
        <v>0</v>
      </c>
    </row>
    <row r="492">
      <c r="A492" s="1" t="s">
        <v>1043</v>
      </c>
      <c r="B492" s="1" t="s">
        <v>1044</v>
      </c>
      <c r="C492" s="1" t="s">
        <v>1045</v>
      </c>
      <c r="D492" s="1">
        <v>60.0</v>
      </c>
      <c r="E492" s="1">
        <v>60.0</v>
      </c>
      <c r="F492" s="2">
        <f t="shared" si="1"/>
        <v>0</v>
      </c>
      <c r="G492" s="1">
        <v>60.0</v>
      </c>
      <c r="H492" s="1">
        <v>60.0</v>
      </c>
      <c r="O492" s="2">
        <f t="shared" si="218"/>
        <v>4</v>
      </c>
      <c r="P492" s="2">
        <f t="shared" si="219"/>
        <v>4</v>
      </c>
      <c r="R492" s="2">
        <f t="shared" si="220"/>
        <v>1</v>
      </c>
    </row>
    <row r="493">
      <c r="A493" s="1" t="s">
        <v>1046</v>
      </c>
      <c r="B493" s="1" t="s">
        <v>1047</v>
      </c>
      <c r="C493" s="1" t="s">
        <v>1048</v>
      </c>
      <c r="D493" s="1">
        <v>60.0</v>
      </c>
      <c r="E493" s="1">
        <v>60.0</v>
      </c>
      <c r="F493" s="2">
        <f t="shared" si="1"/>
        <v>0</v>
      </c>
      <c r="G493" s="1">
        <v>60.0</v>
      </c>
      <c r="H493" s="1">
        <v>60.0</v>
      </c>
      <c r="O493" s="2">
        <f t="shared" si="218"/>
        <v>4</v>
      </c>
      <c r="P493" s="2">
        <f t="shared" si="219"/>
        <v>4</v>
      </c>
      <c r="R493" s="2">
        <f t="shared" si="220"/>
        <v>1</v>
      </c>
    </row>
    <row r="494" hidden="1">
      <c r="A494" s="1" t="s">
        <v>1049</v>
      </c>
      <c r="D494" s="1">
        <v>-1.0</v>
      </c>
      <c r="E494" s="1">
        <v>-1.0</v>
      </c>
      <c r="F494" s="2">
        <f t="shared" si="1"/>
        <v>1</v>
      </c>
    </row>
    <row r="495" hidden="1">
      <c r="A495" s="1" t="s">
        <v>1050</v>
      </c>
      <c r="D495" s="1">
        <v>-1.0</v>
      </c>
      <c r="E495" s="1">
        <v>-1.0</v>
      </c>
      <c r="F495" s="2">
        <f t="shared" si="1"/>
        <v>1</v>
      </c>
    </row>
    <row r="496" hidden="1">
      <c r="A496" s="1" t="s">
        <v>1051</v>
      </c>
      <c r="D496" s="1">
        <v>-1.0</v>
      </c>
      <c r="E496" s="1">
        <v>-1.0</v>
      </c>
      <c r="F496" s="2">
        <f t="shared" si="1"/>
        <v>1</v>
      </c>
    </row>
    <row r="497" hidden="1">
      <c r="A497" s="1" t="s">
        <v>1052</v>
      </c>
      <c r="D497" s="1">
        <v>-1.0</v>
      </c>
      <c r="E497" s="1">
        <v>-1.0</v>
      </c>
      <c r="F497" s="2">
        <f t="shared" si="1"/>
        <v>1</v>
      </c>
    </row>
    <row r="498" hidden="1">
      <c r="A498" s="1" t="s">
        <v>1053</v>
      </c>
      <c r="D498" s="1">
        <v>-1.0</v>
      </c>
      <c r="E498" s="1">
        <v>-1.0</v>
      </c>
      <c r="F498" s="2">
        <f t="shared" si="1"/>
        <v>1</v>
      </c>
    </row>
    <row r="499">
      <c r="A499" s="1" t="s">
        <v>1054</v>
      </c>
      <c r="B499" s="1" t="s">
        <v>1055</v>
      </c>
      <c r="C499" s="1" t="s">
        <v>1055</v>
      </c>
      <c r="D499" s="1">
        <v>60.0</v>
      </c>
      <c r="E499" s="1">
        <v>60.0</v>
      </c>
      <c r="F499" s="2">
        <f t="shared" si="1"/>
        <v>1</v>
      </c>
      <c r="G499" s="1">
        <v>60.0</v>
      </c>
      <c r="H499" s="1">
        <v>60.0</v>
      </c>
      <c r="O499" s="2">
        <f t="shared" ref="O499:O500" si="221">LEN(C499) - LEN(SUBSTITUTE(C499, ";", "")) + 1</f>
        <v>2</v>
      </c>
      <c r="P499" s="2">
        <f t="shared" ref="P499:P500" si="222">LEN(B499) - LEN(SUBSTITUTE(B499, ";", "")) + 1</f>
        <v>2</v>
      </c>
      <c r="R499" s="2">
        <f t="shared" ref="R499:R500" si="223">IF(B499 = C499, 0, 1)</f>
        <v>0</v>
      </c>
    </row>
    <row r="500">
      <c r="A500" s="1" t="s">
        <v>1056</v>
      </c>
      <c r="B500" s="1" t="s">
        <v>1057</v>
      </c>
      <c r="C500" s="1" t="s">
        <v>1057</v>
      </c>
      <c r="D500" s="1">
        <v>3600.0</v>
      </c>
      <c r="E500" s="1">
        <v>3460.0</v>
      </c>
      <c r="F500" s="2">
        <f t="shared" si="1"/>
        <v>1</v>
      </c>
      <c r="G500" s="1">
        <v>3600.0</v>
      </c>
      <c r="H500" s="1">
        <v>3460.0</v>
      </c>
      <c r="O500" s="2">
        <f t="shared" si="221"/>
        <v>2</v>
      </c>
      <c r="P500" s="2">
        <f t="shared" si="222"/>
        <v>2</v>
      </c>
      <c r="R500" s="2">
        <f t="shared" si="223"/>
        <v>0</v>
      </c>
    </row>
    <row r="501" hidden="1">
      <c r="A501" s="1" t="s">
        <v>1058</v>
      </c>
      <c r="D501" s="1">
        <v>-1.0</v>
      </c>
      <c r="E501" s="1">
        <v>-1.0</v>
      </c>
      <c r="F501" s="2">
        <f t="shared" si="1"/>
        <v>1</v>
      </c>
    </row>
    <row r="502">
      <c r="A502" s="1" t="s">
        <v>1059</v>
      </c>
      <c r="B502" s="1" t="s">
        <v>945</v>
      </c>
      <c r="C502" s="1" t="s">
        <v>945</v>
      </c>
      <c r="D502" s="1">
        <v>600.0</v>
      </c>
      <c r="E502" s="1">
        <v>47.0</v>
      </c>
      <c r="F502" s="2">
        <f t="shared" si="1"/>
        <v>1</v>
      </c>
      <c r="G502" s="1">
        <v>600.0</v>
      </c>
      <c r="H502" s="1">
        <v>47.0</v>
      </c>
      <c r="O502" s="2">
        <f>LEN(C502) - LEN(SUBSTITUTE(C502, ";", "")) + 1</f>
        <v>1</v>
      </c>
      <c r="P502" s="2">
        <f>LEN(B502) - LEN(SUBSTITUTE(B502, ";", "")) + 1</f>
        <v>1</v>
      </c>
      <c r="R502" s="2">
        <f>IF(B502 = C502, 0, 1)</f>
        <v>0</v>
      </c>
    </row>
  </sheetData>
  <autoFilter ref="$A$1:$F$502">
    <filterColumn colId="1">
      <filters>
        <filter val="182.61.202.236;182.61.244.149;182.61.202.46;182.61.244.44"/>
        <filter val="34.117.152.135"/>
        <filter val="142.251.32.10;172.217.4.74;142.251.34.234;172.217.1.106;142.250.190.74;142.250.190.42;142.250.191.234;142.250.190.10;142.250.191.202;142.250.191.170;142.250.190.138;142.250.190.106;142.250.191.106;172.217.5.10;142.250.191.138;172.217.2.42"/>
        <filter val="172.217.2.42;142.251.32.10;142.250.190.42;142.250.190.74;142.250.190.10;142.250.191.234;172.217.4.202;142.250.191.106;172.217.4.42;172.217.1.106;142.250.190.138;142.250.190.106;142.251.34.234;142.250.191.202;142.250.191.170;142.250.191.138"/>
        <filter val="142.250.190.46"/>
        <filter val="151.101.130.217;151.101.66.217;151.101.2.217;151.101.194.217"/>
        <filter val="165.160.13.20;165.160.15.20;203.156.12.154"/>
        <filter val="142.250.190.74;142.250.191.234;142.250.191.202;142.251.32.10;142.250.191.138;172.217.2.42;172.217.4.74;142.250.190.42;142.250.190.138;142.250.190.106;172.217.1.106;142.250.190.10;142.250.191.170;142.251.34.234;142.250.191.106;172.217.4.202"/>
        <filter val="35.186.247.156"/>
        <filter val="208.113.159.153"/>
        <filter val="115.238.23.241"/>
        <filter val="216.239.32.223;216.239.38.223;216.239.36.223;216.239.34.223"/>
        <filter val="91.199.212.90"/>
        <filter val="199.233.57.19;199.233.57.18;199.233.57.21;199.233.57.17;199.233.57.16;199.233.57.20"/>
        <filter val="142.250.190.138;142.250.191.170;142.250.191.234;142.250.190.74;142.250.191.138;142.251.32.10;142.251.34.234;142.250.190.42;142.250.190.10;142.250.191.106;142.250.190.106;172.217.2.42;142.250.191.202;172.217.1.106"/>
        <filter val="172.217.1.106;172.217.4.74;142.250.190.10;142.250.190.74;172.217.2.42;142.250.191.138;172.217.5.10;172.217.4.202;142.251.32.10;142.250.190.138;172.217.4.42;142.251.34.234;142.250.191.106;142.250.190.106;142.250.190.42;142.250.191.234"/>
        <filter val="172.217.4.74;142.251.34.234;172.217.1.106;172.217.4.202;172.217.4.42;142.250.190.74;142.250.190.10;142.250.191.202;142.251.32.10;142.250.190.106;142.250.191.234;172.217.2.42;142.250.190.138;142.250.191.170;142.250.191.106;142.250.190.42"/>
        <filter val="106.15.148.44"/>
        <filter val="23.209.61.95"/>
        <filter val="99.84.203.115;99.84.203.58;99.84.203.5;99.84.203.126"/>
        <filter val="104.16.249.249;104.16.248.249"/>
        <filter val="150.171.22.12"/>
        <filter val="142.251.32.10;142.250.191.106;142.250.191.202;142.250.190.42;142.250.190.138;142.250.190.74;142.250.191.234;172.217.4.42;142.250.190.106;142.250.191.138;172.217.4.202;172.217.1.106;142.250.190.10;172.217.2.42;142.250.191.170"/>
        <filter val="204.79.197.235"/>
        <filter val="142.250.191.174"/>
        <filter val="52.205.243.115;54.145.59.57;52.200.46.40"/>
        <filter val="216.239.36.158"/>
        <filter val="23.21.43.10;50.17.152.14"/>
        <filter val="172.217.1.106;142.250.190.106;142.250.190.74;142.250.190.42;142.250.190.138;142.250.191.234;142.250.191.202;172.217.4.42;142.250.190.10;142.251.32.10;142.251.34.234;172.217.5.10;142.250.191.138;172.217.4.74;172.217.4.202;142.250.191.170"/>
        <filter val="142.250.190.142"/>
        <filter val="143.166.30.172;143.166.136.12"/>
        <filter val="141.193.213.20;141.193.213.21"/>
        <filter val="142.250.191.106;172.217.4.42;142.250.191.202;172.217.1.106;142.250.190.106;172.217.4.202;142.250.191.170;142.250.190.42;142.250.191.138;142.251.32.10;142.250.190.74;142.250.191.234;142.250.190.138;142.251.34.234;172.217.2.42;142.250.190.10"/>
        <filter val="69.194.143.123"/>
        <filter val="64.68.202.11"/>
        <filter val="44.226.163.226;35.85.93.41;44.238.106.102;34.217.235.21"/>
        <filter val="104.18.86.42;104.18.87.42"/>
        <filter val="13.89.188.82;52.173.199.90"/>
        <filter val="3.162.163.127;3.162.163.47;3.162.163.24;3.162.163.88"/>
        <filter val="141.193.213.21;141.193.213.20"/>
        <filter val="104.26.12.205;104.26.13.205;172.67.74.152"/>
        <filter val="76.223.84.192;13.248.158.7"/>
        <filter val="20.236.44.162;20.70.246.20;20.76.201.171;20.231.239.246;20.112.250.133"/>
        <filter val="15.197.167.90;3.33.186.135"/>
        <filter val="23.34.124.26"/>
        <filter val="142.250.190.106;142.250.190.42;142.251.32.10;142.250.190.10;172.217.4.42;172.217.1.106;172.217.2.42;142.250.191.234;142.250.190.138;142.250.191.170;172.217.5.10;142.250.190.74;142.250.191.138;172.217.4.74;142.250.191.202;142.251.34.234"/>
        <filter val="20.70.246.20;20.76.201.171;20.231.239.246;20.236.44.162;20.112.250.133"/>
        <filter val="192.178.157.92"/>
        <filter val="151.101.64.84;151.101.192.84;151.101.0.84;151.101.128.84"/>
        <filter val="142.250.190.42;142.251.34.234;142.250.190.10;142.250.191.202;172.217.4.202;142.250.191.170;142.250.191.234;142.250.191.106;142.250.190.74;172.217.1.106;142.250.190.106;142.250.190.138;142.250.191.138;172.217.5.10;142.251.32.10;172.217.4.74"/>
        <filter val="213.71.30.154"/>
        <filter val="157.240.26.35"/>
        <filter val="194.218.10.186"/>
        <filter val="142.250.191.170;142.251.34.234;172.217.2.42;142.250.191.202;142.250.191.106;142.250.190.138;172.217.4.74;142.250.191.138;142.250.191.234;142.251.32.10;172.217.5.10;172.217.1.106;142.250.190.74;142.250.190.106;142.250.190.42;142.250.190.10"/>
        <filter val="198.202.211.1"/>
        <filter val="98.137.11.164;74.6.231.21;74.6.143.25;74.6.143.26;98.137.11.163;74.6.231.20"/>
        <filter val="172.64.155.209;104.18.32.47"/>
        <filter val="142.251.34.234;142.250.190.10;172.217.4.74;172.217.1.106;172.217.2.42;172.217.4.42;142.250.191.106;142.250.190.138;142.250.190.74;142.251.32.10;142.250.191.234;172.217.4.202;142.250.191.138;142.250.191.202;142.250.190.42;142.250.191.170"/>
        <filter val="47.246.165.39;47.246.167.10;47.246.167.254;47.246.165.111;47.246.167.114;47.246.165.182;47.246.167.7;47.246.165.110"/>
        <filter val="216.239.34.223;216.239.36.223;216.239.38.223;216.239.32.223"/>
        <filter val="13.107.246.38;13.107.213.38"/>
        <filter val="49.7.118.241"/>
        <filter val="100.20.214.93"/>
        <filter val="40.112.243.53;20.119.0.28"/>
        <filter val="124.251.100.193"/>
        <filter val="52.84.127.128;52.84.127.16;52.84.127.43;52.84.127.83"/>
        <filter val="142.250.190.106;142.250.191.234;172.217.4.74;172.217.4.42;142.250.190.42;142.251.32.10;172.217.1.106;172.217.4.202;142.250.191.202;142.251.34.234;142.250.190.74;172.217.2.42;142.250.190.10;142.250.191.170;142.250.190.138;142.250.191.138"/>
        <filter val="147.136.180.129"/>
        <filter val="204.79.197.219"/>
        <filter val="204.79.197.212"/>
        <filter val="172.217.4.195"/>
        <filter val="216.239.32.29"/>
        <filter val="142.250.190.74;142.250.191.138;142.251.34.234;142.250.190.42;142.250.191.106;142.250.191.234;172.217.2.42;142.250.190.10;142.250.191.170;172.217.4.74;142.250.190.138;172.217.4.42;142.250.190.106;172.217.1.106;142.250.191.202;142.251.32.10"/>
        <filter val="34.202.175.143"/>
        <filter val="142.250.190.36"/>
        <filter val="34.160.41.36"/>
        <filter val="104.17.111.223;104.16.160.145"/>
        <filter val="142.250.190.42;142.250.190.106;172.217.2.42;142.250.191.170;142.250.190.138;142.250.190.10;172.217.4.202;142.250.191.106;142.250.191.138;172.217.4.74;172.217.1.106;142.251.34.234;142.250.191.234;142.250.191.202;142.250.190.74;142.251.32.10"/>
        <filter val="3.211.157.115;3.225.92.8;54.160.93.182"/>
        <filter val="35.186.224.24"/>
        <filter val="18.160.181.8;18.160.181.53;18.160.181.2;18.160.181.9"/>
        <filter val="35.190.14.201"/>
        <filter val="141.193.213.10;141.193.213.11"/>
        <filter val="99.84.203.76;99.84.203.128;99.84.203.110;99.84.203.6"/>
        <filter val="159.127.43.8;159.127.40.136"/>
        <filter val="142.250.191.234;142.250.190.42;142.250.191.106;172.217.4.202;142.250.190.138;172.217.4.42;172.217.5.10;142.251.32.10;142.250.190.106;172.217.1.106;142.250.190.10;172.217.4.74;172.217.2.42;142.250.190.74;142.251.34.234;142.250.191.202"/>
        <filter val="37.157.5.86;37.157.5.49"/>
        <filter val="151.101.66.132;151.101.130.132;151.101.194.132;151.101.2.132"/>
        <filter val="142.251.34.234;142.250.191.138;172.217.4.42;142.250.191.170;142.250.190.106;142.250.190.42;142.250.191.106;142.250.190.10;172.217.1.106;142.251.32.10;142.250.190.74;142.250.191.234;172.217.2.42;142.250.190.138;172.217.4.74;142.250.191.202"/>
        <filter val="157.240.26.18"/>
        <filter val="172.217.1.106;142.250.191.234;142.250.191.106;142.250.190.10;142.250.190.106;142.250.190.74;142.250.191.138;172.217.4.202;172.217.4.42;172.217.5.10;142.250.190.42;142.250.191.170;172.217.2.42;142.251.32.10;142.250.190.138;142.250.191.202"/>
        <filter val="199.60.103.65;199.60.103.165"/>
        <filter val="104.17.228.60;104.17.227.60"/>
        <filter val="13.107.6.156"/>
        <filter val="104.16.208.90;104.17.156.85"/>
        <filter val="23.11.10.192"/>
        <filter val="142.250.191.138;142.250.191.170;172.217.1.106;172.217.2.42;142.250.190.138;142.250.191.106;142.250.190.74;142.250.191.202;142.250.190.106;172.217.5.10;142.250.190.10;142.250.191.234;172.217.4.74;142.250.190.42;172.217.4.202;172.217.4.42"/>
        <filter val="204.79.197.200"/>
        <filter val="13.107.6.159"/>
        <filter val="18.160.102.87;18.160.102.58;18.160.102.32;18.160.102.127"/>
        <filter val="142.250.190.123;142.250.190.155;142.250.190.91;142.250.191.123;142.250.190.27;142.250.191.219;172.217.4.219;172.217.4.91;142.250.191.251;172.217.1.123;172.217.2.59;142.250.190.59;142.250.191.187;142.251.32.27;142.250.191.155;172.217.4.59"/>
        <filter val="142.250.191.234;142.250.191.202;172.217.4.42;142.250.190.10;172.217.4.74;142.250.190.106;142.250.191.138;142.250.190.138;172.217.2.42;172.217.4.202;172.217.1.106;142.251.34.234;142.250.191.106;142.251.32.10;142.250.191.170;142.250.190.42"/>
        <filter val="23.59.169.49;23.59.169.56"/>
        <filter val="151.101.193.140;151.101.129.140;151.101.65.140;151.101.1.140"/>
        <filter val="34.149.46.130"/>
        <filter val="34.140.37.23"/>
        <filter val="72.21.210.29;72.21.206.80;207.171.166.22"/>
        <filter val="142.250.190.42;142.250.191.234;142.250.191.106;142.251.34.234;142.250.190.138;172.217.5.10;172.217.4.42;142.251.32.10;142.250.191.202;172.217.4.74;142.250.191.138;172.217.4.202;142.250.190.10;172.217.1.106;172.217.2.42;142.250.191.170"/>
        <filter val="104.43.254.102"/>
        <filter val="156.59.238.20"/>
        <filter val="198.185.159.144"/>
        <filter val="151.101.65.195;151.101.1.195"/>
        <filter val="54.208.31.49"/>
        <filter val="99.83.195.29;13.248.238.180"/>
        <filter val="151.101.194.159"/>
        <filter val="142.250.191.106;142.250.191.138;142.250.191.202;142.250.190.138;172.217.2.42;142.251.34.234;142.250.190.74;172.217.5.10;172.217.1.106;142.251.32.10;142.250.190.42;142.250.191.234;142.250.190.106;142.250.191.170;172.217.4.42;142.250.190.10"/>
        <filter val="3.170.103.117;3.170.103.25;3.170.103.83;3.170.103.29"/>
        <filter val="142.250.191.106;142.250.190.138;172.217.2.42;142.250.190.74;172.217.1.106;142.250.191.138;142.250.191.202;142.250.190.10;142.250.190.42;172.217.4.202;142.250.190.106;142.250.191.170;142.251.32.10;142.250.191.234"/>
        <filter val="142.250.191.132"/>
        <filter val="142.250.191.131"/>
        <filter val="cha"/>
        <filter val="76.76.21.21"/>
        <filter val="146.75.30.133"/>
        <filter val="3.166.118.23;3.166.118.97;3.166.118.42;3.166.118.113"/>
        <filter val="142.250.190.74;142.250.191.170;142.250.191.106;142.250.190.10;172.217.4.74;172.217.2.42;142.250.190.106;172.217.1.106;142.250.191.234;142.250.191.202;172.217.4.202;142.251.32.10;142.251.34.234;142.250.190.138;142.250.191.138;142.250.190.42"/>
        <filter val="23.59.169.28;23.59.169.24"/>
        <filter val="142.250.190.10;142.250.190.74;172.217.2.42;142.250.191.138;142.251.32.10;142.250.191.106;172.217.5.10;142.250.190.138;142.250.190.106;142.250.191.170;142.251.34.234;142.250.191.234;142.250.190.42;142.250.191.202;172.217.1.106;172.217.4.42"/>
        <filter val="142.250.190.100"/>
        <filter val="142.250.190.14"/>
        <filter val="204.93.207.22"/>
        <filter val="142.250.190.101"/>
        <filter val="172.217.4.202;142.250.191.106;172.217.2.42;142.250.191.170;172.217.5.10;142.250.190.10;142.250.191.138;142.250.190.74;142.250.190.42;142.250.191.202;142.250.190.138;172.217.1.106;142.250.191.234;142.251.32.10;172.217.4.42;142.250.190.106"/>
        <filter val="104.18.156.119;104.18.155.119"/>
        <filter val="142.250.190.74;142.250.191.202;172.217.4.42;142.250.190.138;142.250.191.138;142.250.190.106;142.250.190.10;142.251.34.234;142.250.190.42;172.217.1.106;142.250.191.234;142.250.191.170;142.251.32.10;142.250.191.106;172.217.4.74"/>
        <filter val="18.160.102.9;18.160.102.128;18.160.102.5;18.160.102.64"/>
        <filter val="172.217.4.42;142.250.190.106;142.250.190.10;142.250.191.106;142.250.190.42;172.217.2.42;142.250.191.234;172.217.5.10;142.250.191.170;142.251.34.234;142.250.191.138;172.217.4.74;142.250.191.202;172.217.4.202;142.250.190.74;142.251.32.10"/>
        <filter val="141.193.213.30"/>
        <filter val="208.91.169.4"/>
        <filter val="47.246.136.156;47.246.131.198;47.246.136.52;47.246.137.105"/>
        <filter val="142.250.190.106"/>
        <filter val="52.202.204.11;23.22.254.206;54.227.187.23;52.5.13.197"/>
        <filter val="13.59.223.204;13.59.223.207;13.59.223.205;13.59.223.206"/>
        <filter val="142.251.34.227"/>
        <filter val="142.251.34.228"/>
        <filter val="52.84.127.13;52.84.127.106;52.84.127.80;52.84.127.40"/>
        <filter val="104.18.22.52"/>
        <filter val="110.76.8.255;110.75.130.45"/>
        <filter val="142.250.191.238"/>
        <filter val="204.74.99.103"/>
        <filter val="18.160.102.105;18.160.102.120;18.160.102.103;18.160.102.123"/>
        <filter val="184.31.3.130;104.109.11.129;184.31.10.133;23.1.106.133;104.109.10.129;23.1.35.132;23.1.99.130;184.25.179.132"/>
        <filter val="148.222.71.12"/>
        <filter val="52.84.127.48;52.84.127.80;52.84.127.116;52.84.127.17"/>
        <filter val="142.251.32.10"/>
        <filter val="52.84.127.104;52.84.127.78;52.84.127.74;52.84.127.51"/>
        <filter val="212.237.178.116"/>
        <filter val="142.250.190.138;142.250.190.106;142.250.191.202;142.250.190.42;142.251.32.10;142.250.190.74;142.250.191.234;142.250.190.10;172.217.4.202;142.250.191.106;142.251.34.234;172.217.4.42;172.217.1.106;172.217.2.42;142.250.191.138;142.250.191.170"/>
        <filter val="172.217.4.42;142.251.32.10;142.250.190.138;142.250.190.42;142.250.190.74;142.250.190.106;142.250.191.170;172.217.4.74;172.217.5.10;142.250.191.202;142.250.191.138;172.217.1.106;172.217.2.42;142.250.191.234;142.251.34.234;142.250.191.106"/>
        <filter val="142.250.190.138;142.250.190.42;142.250.191.170;142.250.190.10;142.250.190.106;172.217.5.10;172.217.1.106;142.250.191.234;142.250.191.202;172.217.4.74;172.217.4.42;142.250.191.106;142.250.191.138;142.251.32.10;142.250.190.74;142.251.34.234"/>
        <filter val="59.82.43.234;59.82.43.238;59.82.122.140;59.82.122.165;59.82.43.239;59.82.122.130;59.82.121.163;59.82.44.240"/>
        <filter val="51.255.169.33"/>
        <filter val="172.217.2.42;172.217.5.10;142.250.191.202;172.217.1.106;142.250.191.170;142.250.190.106;142.250.190.74;172.217.4.42;142.251.32.10;142.250.191.138;142.250.190.138;142.250.191.106;142.250.190.42;172.217.4.202;142.250.191.234;142.250.190.10"/>
        <filter val="170.114.52.2"/>
        <filter val="35.241.60.58"/>
        <filter val="172.217.4.202;142.250.190.42;142.251.34.234;142.250.190.74;142.250.191.202;142.250.191.106;172.217.5.10;142.250.190.10;172.217.4.74;142.250.190.106;172.217.2.42;172.217.4.42;142.250.191.138;142.250.191.234;142.251.32.10;142.250.191.170"/>
        <filter val="1.2.3.4"/>
        <filter val="151.101.130.132;151.101.194.132;151.101.66.132;151.101.2.132"/>
        <filter val="142.250.190.106;172.217.2.42;142.250.191.234;172.217.4.202;142.250.190.138;142.250.190.74;142.250.190.42;142.250.191.170;142.251.32.10;172.217.4.74;142.250.191.138;142.250.191.106;142.251.34.234;172.217.1.106;142.250.191.202;142.250.190.10"/>
        <filter val="150.171.28.10;150.171.27.10"/>
        <filter val="52.205.198.106"/>
        <filter val="52.86.208.141;35.168.93.157"/>
        <filter val="172.64.146.98;104.18.41.158"/>
        <filter val="172.217.2.42;172.217.1.106;172.217.5.10;142.250.191.202;172.217.4.202;142.250.191.170;172.217.4.42;142.250.190.10;142.250.190.42;142.251.32.10;142.250.190.74;142.250.191.106;142.250.191.234;142.251.34.234;142.250.190.138;142.250.191.138"/>
        <filter val="17.253.142.4"/>
        <filter val="52.215.195.113;52.49.186.77;52.51.2.235"/>
        <filter val="35.212.43.67"/>
        <filter val="104.18.24.18;104.18.25.18"/>
        <filter val="98.87.170.71;98.82.161.185;98.87.170.74"/>
        <filter val="185.26.182.103;185.26.182.104"/>
        <filter val="142.250.191.138;142.250.191.202;142.250.190.106;142.250.190.42;142.251.32.10;142.250.190.138;142.250.190.10;172.217.4.202;142.250.190.74;142.250.191.234;172.217.1.106;172.217.2.42;142.250.191.170;142.251.34.234;142.250.191.106;172.217.4.42"/>
        <filter val="77.88.44.55;77.88.55.88;5.255.255.77"/>
        <filter val="172.217.4.46"/>
        <filter val="172.217.2.42;142.250.190.10;172.217.1.106;142.250.190.138;142.250.190.74;142.250.191.138;142.250.191.202;142.250.191.234;172.217.4.74;142.250.190.42;172.217.4.42;142.250.190.106;142.250.191.170;142.250.191.106;172.217.5.10;172.217.4.202"/>
        <filter val="20.190.135.3;20.190.135.16;40.126.28.20;40.126.28.21;40.126.28.12;40.126.7.35;20.190.135.4;40.126.28.14"/>
        <filter val="142.250.191.241"/>
        <filter val="128.116.48.3"/>
        <filter val="20.236.44.162;20.231.239.246;20.112.250.133;20.76.201.171;20.70.246.20"/>
        <filter val="95.170.74.97"/>
        <filter val="8.8.8.8;8.8.4.4"/>
        <filter val="172.65.90.27;172.65.90.25;172.65.90.24;172.65.90.26"/>
        <filter val="216.146.46.10;216.146.46.11"/>
        <filter val="23.192.228.80;23.192.228.84;23.220.75.245;23.215.0.138;23.220.75.232;23.215.0.136"/>
        <filter val="142.250.191.98"/>
        <filter val="44.230.238.127;54.214.172.129;52.27.85.137"/>
        <filter val="144.196.130.69"/>
        <filter val="52.96.172.98;52.96.222.194;52.96.111.82;52.96.91.34;52.96.222.226;52.96.223.2;52.96.214.50;52.96.229.242;52.96.228.130"/>
        <filter val="161.117.97.92;161.117.94.231"/>
        <filter val="142.250.191.234;172.217.1.106;142.251.32.10;142.250.190.42;172.217.4.202;142.250.191.170;142.250.191.106;172.217.4.74;172.217.4.42;142.250.190.106;142.250.190.10;172.217.2.42;142.250.190.138;142.250.190.74;142.250.191.202;142.250.191.138"/>
        <filter val="192.178.153.207;142.251.4.207;192.178.154.207;142.250.123.207;142.250.112.207;172.217.68.207;74.125.129.207;192.178.131.207;192.178.157.207;142.251.182.207;142.250.111.207;192.178.214.207;142.251.165.207;142.251.176.207;142.251.166.207;192.178.130.207"/>
        <filter val="142.250.190.10;142.250.191.202;172.217.5.10;172.217.1.106;172.217.4.202;172.217.4.74;142.250.190.74;142.250.191.138;142.251.32.10;142.250.190.42;142.250.191.106;142.250.190.138;142.250.191.170;142.250.191.234;172.217.4.42;142.250.190.106"/>
        <filter val="104.18.0.22;104.18.1.22"/>
        <filter val="52.36.224.135"/>
        <filter val="157.240.26.174"/>
        <filter val="151.101.192.84;151.101.128.84;151.101.64.84;151.101.0.84"/>
        <filter val="104.16.79.73;104.16.80.73"/>
        <filter val="217.114.94.2"/>
        <filter val="45.60.131.229;45.60.121.229"/>
        <filter val="52.92.190.83;52.92.240.131;3.5.84.66;52.218.247.66;52.92.138.115;52.218.250.178;3.5.83.123;3.5.82.31"/>
        <filter val="142.250.190.10;142.251.32.10;142.250.191.170;142.250.190.138;142.250.191.202;172.217.1.106;142.250.191.106;142.250.190.106;142.250.191.138;172.217.4.202;172.217.4.74;172.217.5.10;142.250.190.42;142.250.191.234;142.250.190.74;172.217.2.42"/>
        <filter val="172.217.2.42;142.251.34.234;142.250.190.42;142.250.191.138;172.217.4.74;142.250.191.170;142.250.191.234;142.251.32.10;142.250.191.202;142.250.190.74;142.250.190.10;172.217.1.106;172.217.4.42;172.217.4.202;142.250.191.106;142.250.190.106"/>
        <filter val="204.79.197.197"/>
        <filter val="13.249.141.29;13.249.141.24;13.249.141.30;13.249.141.9"/>
        <filter val="23.38.109.145;23.38.109.156;23.38.109.136;23.38.109.153;23.38.109.138;23.38.109.154;23.38.109.149;23.38.109.134;23.38.109.165"/>
        <filter val="18.160.225.91;18.160.225.53;18.160.225.96;18.160.225.16"/>
        <filter val="3.233.158.112;3.233.158.111;3.233.158.114"/>
        <filter val="147.136.140.56"/>
        <filter val="104.109.11.129;23.1.99.130;184.31.10.133;184.31.3.130;104.109.10.129;23.1.106.133;184.25.179.132;23.1.35.132"/>
        <filter val="142.250.191.106"/>
        <filter val="151.101.65.91;151.101.193.91;151.101.129.91;151.101.1.91"/>
        <filter val="74.214.194.128"/>
        <filter val="142.250.191.106;172.217.1.106;142.250.190.106;142.250.190.42;172.217.2.42;142.250.191.170;142.250.190.10;172.217.4.202;142.250.190.74;172.217.5.10;142.250.190.138;142.250.191.138;142.250.191.234;142.250.191.202;142.251.32.10;172.217.4.42"/>
        <filter val="142.250.190.74;142.250.190.106;172.217.4.202;172.217.4.74;142.251.32.10;142.250.190.10;142.250.191.202;142.250.191.138;142.250.190.138;142.250.191.234;172.217.5.10;172.217.4.42;142.250.190.42;142.250.191.170;142.250.191.106;142.251.34.234"/>
        <filter val="142.251.34.234;142.250.190.74;142.251.32.10;172.217.1.106;172.217.4.42;142.250.190.42;142.250.190.138;172.217.2.42;172.217.4.74;142.250.190.106;142.250.191.234;142.250.191.106;172.217.5.10;172.217.4.202;142.250.190.10;142.250.191.202"/>
        <filter val="150.171.74.16;150.171.73.16"/>
        <filter val="172.217.4.202;142.251.34.234;142.250.191.170;142.250.190.74;142.250.191.138;172.217.2.42;172.217.4.42;142.250.191.202;142.250.191.234;142.250.190.10;142.250.190.42;142.251.32.10;172.217.1.106;142.250.191.106;142.250.190.138;142.250.190.106"/>
        <filter val="211.45.27.231"/>
        <filter val="202.69.191.77"/>
        <filter val="172.217.4.74;142.250.190.74;142.250.191.202;142.250.190.106;142.250.191.170;142.250.191.106;142.250.190.138;142.251.34.234;142.250.190.42;142.251.32.10;172.217.1.106;172.217.2.42;172.217.4.202;142.250.190.10;142.250.191.138;142.250.191.234"/>
        <filter val="217.167.147.132"/>
        <filter val="142.251.34.234;172.217.1.106;142.250.191.234;142.250.190.74;172.217.2.42;142.250.190.42;172.217.5.10;172.217.4.42;142.250.191.138;142.250.191.170;142.250.190.138;142.250.190.106;142.250.191.202;142.250.190.10;142.251.32.10;142.250.191.106"/>
        <filter val="142.250.190.74;142.250.190.42;142.250.191.106;172.217.1.106;142.250.191.202;142.250.191.234;172.217.2.42;142.250.190.10;172.217.4.202;142.250.191.170;142.250.190.106;142.250.191.138;142.250.190.138;172.217.4.42;142.251.32.10;172.217.5.10"/>
        <filter val="17.253.144.10"/>
        <filter val="216.239.38.223;216.239.32.223;216.239.34.223;216.239.36.223"/>
        <filter val="34.204.55.14"/>
        <filter val="52.84.127.19;52.84.127.90;52.84.127.74;52.84.127.98"/>
        <filter val="54.225.119.21;62.219.50.32"/>
        <filter val="72.163.4.185"/>
        <filter val="192.0.0.171;192.0.0.170"/>
        <filter val="65.55.93.60"/>
        <filter val="142.250.190.106;142.250.190.138;172.217.1.106;172.217.5.10;142.250.191.234;142.250.190.42;142.250.190.74;142.250.191.106;142.250.190.10;172.217.4.74;172.217.4.202;142.250.191.202;142.250.191.170;142.251.32.10;142.251.34.234;142.250.191.138"/>
        <filter val="34.255.42.71;3.251.49.224;52.16.157.210"/>
        <filter val="142.251.32.3"/>
        <filter val="172.217.4.202;142.250.190.42;172.217.2.42;172.217.4.74;142.250.191.138;142.250.190.106;142.250.191.106;142.250.191.202;142.250.190.10;142.251.32.10;142.250.190.138;172.217.1.106;142.251.34.234;142.250.190.74;142.250.191.170;142.250.191.234"/>
        <filter val="23.185.0.4"/>
        <filter val="106.11.253.83;106.11.249.99;106.11.172.9;140.205.60.46;140.205.135.3;106.11.248.146"/>
        <filter val="142.250.190.138;142.251.34.234;172.217.4.74;142.251.32.10;142.250.190.42;172.217.5.10;142.250.191.138;172.217.4.202;142.250.191.106;172.217.1.106;142.250.191.170;142.250.191.202;142.250.190.10;142.250.191.234;172.217.4.42;172.217.2.42"/>
        <filter val="151.101.150.73"/>
        <filter val="142.251.32.4"/>
        <filter val="217.70.184.55"/>
        <filter val="20.70.246.20;20.76.201.171;20.236.44.162;20.112.250.133;20.231.239.246"/>
        <filter val="216.49.176.20"/>
        <filter val="162.159.141.96;151.101.3.1;151.101.195.1"/>
        <filter val="35.206.149.249"/>
        <filter val="216.239.38.223;216.239.36.223;216.239.34.223;216.239.32.223"/>
        <filter val="142.251.34.234;142.250.190.74;172.217.4.42;142.250.191.202;172.217.4.74;142.250.190.42;172.217.1.106;142.250.190.138;142.250.190.106;142.251.32.10;142.250.191.138;142.250.191.170;172.217.5.10;142.250.190.10;172.217.2.42;142.250.191.106"/>
        <filter val="104.239.136.235"/>
        <filter val="35.244.159.8;34.98.64.218"/>
        <filter val="18.160.181.72;18.160.181.46;18.160.181.11;18.160.181.18"/>
        <filter val="142.250.191.202"/>
        <filter val="151.101.151.6"/>
        <filter val="147.92.243.206"/>
        <filter val="142.250.191.200"/>
        <filter val="51.222.39.187;51.222.239.230;51.222.39.185;51.222.39.184;51.222.239.232;51.222.39.186"/>
        <filter val="172.66.0.227"/>
        <filter val="165.193.78.252"/>
        <filter val="3.166.118.50;3.166.118.14;3.166.118.4;3.166.118.107"/>
        <filter val="142.250.191.234;172.217.2.42;142.250.191.170;142.250.190.42;142.250.191.106;142.250.190.106;172.217.1.106;172.217.4.42;142.250.190.74;172.217.4.202;142.250.191.138;142.251.34.234;142.250.190.138;142.250.190.10;172.217.4.74;142.250.191.202"/>
        <filter val="18.160.181.96;18.160.181.60;18.160.181.15;18.160.181.35"/>
        <filter val="142.250.190.74;142.250.191.234;142.251.34.234;142.250.191.106;142.250.190.10;172.217.2.42;142.250.190.42;142.251.32.10;172.217.4.42;172.217.1.106;142.250.191.170;142.250.190.106;142.250.191.138;142.250.191.202;142.250.190.138"/>
        <filter val="142.250.190.42;142.250.191.234;142.250.190.106;142.250.190.74;142.250.191.106;142.251.34.234;142.250.191.170;172.217.5.10;142.251.32.10;172.217.4.42;142.250.191.202;172.217.1.106;172.217.4.202;142.250.190.138;142.250.191.138;172.217.2.42"/>
        <filter val="142.250.190.106;142.250.191.202;142.250.190.74;172.217.1.106;142.250.190.10;142.250.191.234;172.217.2.42;142.250.191.170;142.250.191.106;142.250.191.138;172.217.4.202;142.250.190.138;142.250.190.42;172.217.5.10;172.217.4.42;142.251.32.10"/>
        <filter val="54.224.150.238;52.21.86.112"/>
        <filter val="23.212.215.136"/>
        <filter val="198.54.12.133;198.54.12.134"/>
        <filter val="172.217.5.4"/>
        <filter val="213.180.204.242"/>
        <filter val="172.217.5.1"/>
        <filter val="0.0.0.1"/>
        <filter val="172.217.4.202;142.250.190.10;142.250.191.106;172.217.2.42;142.250.191.234;142.250.191.170;142.251.34.234;142.250.190.138;172.217.5.10;172.217.1.106;142.250.191.138;142.250.190.74;142.251.32.10;142.250.191.202;142.250.190.42;142.250.190.106"/>
        <filter val="202.181.90.194"/>
        <filter val="162.159.153.243;162.159.152.21"/>
        <filter val="142.250.191.202;142.250.190.42;172.217.4.74;142.250.191.138;142.250.190.10;142.250.190.138;172.217.4.42;142.250.191.106;142.250.191.234;142.251.34.234;172.217.1.106;142.250.190.74;142.250.191.170;142.251.32.10;172.217.2.42;142.250.190.106"/>
        <filter val="162.159.140.229"/>
        <filter val="142.250.191.170;142.250.190.42;142.251.32.10;142.250.190.106;172.217.5.10;142.251.34.234;172.217.4.74;142.250.190.10;172.217.4.202;172.217.1.106;142.250.190.74;142.250.190.138;172.217.2.42;142.250.191.202;142.250.191.138;142.250.191.234"/>
        <filter val="210.61.82.38"/>
        <filter val="35.212.28.75"/>
        <filter val="142.250.190.99"/>
        <filter val="62.36.229.31"/>
        <filter val="99.83.190.102;75.2.70.75"/>
        <filter val="124.251.34.141"/>
        <filter val="185.184.8.90"/>
        <filter val="151.101.66.58;151.101.2.58"/>
        <filter val="68.67.178.10;68.67.160.132;68.67.181.248;68.67.179.89;68.67.181.211;68.67.161.208;68.67.160.75;68.67.160.186;68.67.179.155;68.67.179.153;68.67.179.87;68.67.179.164"/>
        <filter val="13.248.219.127;76.223.69.48"/>
        <filter val="23.220.206.21;23.220.206.58"/>
        <filter val="123.150.76.218;203.205.254.157;113.108.81.189"/>
        <filter val="23.11.19.110"/>
        <filter val="172.67.75.89;104.26.8.8;104.26.9.8"/>
        <filter val="142.250.190.74;172.217.4.42;142.250.190.138;172.217.4.202;142.250.190.10;142.250.191.234;172.217.1.106;142.251.32.10;172.217.2.42;142.250.191.202;172.217.4.74;142.250.191.170;142.250.190.42;142.250.191.138;142.251.34.234;142.250.190.106"/>
        <filter val="172.217.2.46"/>
        <filter val="147.136.141.130"/>
        <filter val="140.205.77.240;115.238.23.240"/>
        <filter val="34.54.184.105"/>
        <filter val="172.217.1.106;142.250.190.10;142.250.190.106;142.250.190.42;172.217.5.10;142.250.190.138;142.251.34.234;142.250.190.74;172.217.4.202;142.250.191.106;142.251.32.10;172.217.2.42;142.250.191.202;142.250.191.170;142.250.191.138;142.250.191.234"/>
        <filter val="172.217.2.42"/>
        <filter val="23.200.133.6;23.200.133.42"/>
        <filter val="216.239.36.223;216.239.32.223;216.239.34.223;216.239.38.223"/>
        <filter val="18.208.88.157;98.84.224.111"/>
        <filter val="144.48.22.40"/>
        <filter val="10.233.124.212"/>
        <filter val="172.217.4.74;142.251.32.10;142.250.191.138;142.250.190.42;142.250.190.74;172.217.1.106;142.250.190.10;142.250.191.202;142.250.191.234;142.250.190.138;172.217.2.42;142.251.34.234;142.250.190.106;142.250.191.106;172.217.4.42;142.250.191.170"/>
        <filter val="99.84.203.85;99.84.203.125;99.84.203.35;99.84.203.44"/>
        <filter val="104.16.133.229;104.16.132.229"/>
        <filter val="183.84.7.241;124.251.34.141"/>
        <filter val="34.96.66.233"/>
        <filter val="13.107.213.51;13.107.246.51"/>
        <filter val="18.160.181.69;18.160.181.78;18.160.181.118;18.160.181.123"/>
        <filter val="23.2.131.38"/>
        <filter val="104.18.26.193;104.18.27.193"/>
        <filter val="142.251.182.92"/>
        <filter val="172.217.1.106;142.250.191.234;142.251.32.10;142.250.191.170;172.217.4.202;142.250.190.138;142.250.191.106;142.250.191.138;172.217.4.42;142.251.34.234;142.250.190.10;142.250.191.202;142.250.190.42;142.250.190.74;142.250.190.106"/>
        <filter val="142.250.191.196"/>
        <filter val="142.250.191.195"/>
        <filter val="157.240.26.54"/>
        <filter val="104.18.32.137;172.64.155.119"/>
        <filter val="20.76.201.171;20.231.239.246;20.236.44.162;20.70.246.20;20.112.250.133"/>
        <filter val="165.160.15.20;165.160.13.20"/>
        <filter val="20.112.250.133;20.70.246.20;20.76.201.171;20.231.239.246;20.236.44.162"/>
        <filter val="35.170.8.51"/>
        <filter val="43.155.124.49;43.154.240.170"/>
        <filter val="20.112.250.133;20.76.201.171;20.231.239.246;20.236.44.162;20.70.246.20"/>
        <filter val="142.251.176.95"/>
        <filter val="99.84.203.125;99.84.203.84;99.84.203.33;99.84.203.59"/>
        <filter val="52.108.9.12;52.108.8.12"/>
        <filter val="216.239.38.135"/>
        <filter val="141.95.98.64;162.19.138.116;162.19.138.83;162.19.138.120;162.19.138.82;162.19.138.119;162.19.138.117;57.129.85.132;141.95.98.65;141.95.33.120;162.19.138.118"/>
        <filter val="208.80.154.224"/>
        <filter val="20.112.250.133;20.76.201.171;20.236.44.162;20.70.246.20;20.231.239.246"/>
        <filter val="142.250.190.10;172.217.4.202;142.250.190.42;142.250.190.138;142.250.191.170;172.217.4.42;142.250.190.74;142.250.191.106;142.251.32.10;142.250.190.106;142.250.191.202;172.217.1.106;142.251.34.234;172.217.2.42;172.217.5.10;142.250.191.138"/>
        <filter val="216.239.38.21;216.239.36.21;216.239.32.21;216.239.34.21"/>
        <filter val="141.193.213.11;141.193.213.10"/>
        <filter val="34.160.122.192"/>
        <filter val="142.250.190.138;172.217.4.202;142.250.190.106;142.251.32.10;142.250.190.74;172.217.4.42;172.217.2.42;142.250.191.138;142.250.191.234;142.250.191.202;142.250.190.10;142.250.190.42;172.217.5.10;142.250.191.106;172.217.1.106;142.250.191.170"/>
      </filters>
    </filterColumn>
  </autoFilter>
  <drawing r:id="rId1"/>
</worksheet>
</file>